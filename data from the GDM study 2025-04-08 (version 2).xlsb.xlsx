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55" firstSheet="2" activeTab="4"/>
  </bookViews>
  <sheets>
    <sheet name="GDM data" sheetId="4" r:id="rId1"/>
    <sheet name="Pregnant SD rat data" sheetId="9" r:id="rId2"/>
    <sheet name="mouse data" sheetId="14" r:id="rId3"/>
    <sheet name="LR and BW bacterial ratio" sheetId="16" r:id="rId4"/>
    <sheet name="BW count" sheetId="19" r:id="rId5"/>
    <sheet name="The Gln content in the supernat" sheetId="17" r:id="rId6"/>
  </sheets>
  <definedNames>
    <definedName name="_xlnm._FilterDatabase" localSheetId="0" hidden="1">'GDM data'!$A$1:$U$53</definedName>
    <definedName name="_xlnm._FilterDatabase" localSheetId="2" hidden="1">'mouse data'!$A$1:$O$80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<sst xmlns="http://schemas.openxmlformats.org/spreadsheetml/2006/main" count="357" uniqueCount="282">
  <si>
    <t>No.</t>
  </si>
  <si>
    <t>R or NR</t>
  </si>
  <si>
    <t>FBG(mmol/l)</t>
  </si>
  <si>
    <t>TG(mmol/l)</t>
  </si>
  <si>
    <t>TCH(mmol/l)</t>
  </si>
  <si>
    <t>HDL(mmol/l)</t>
  </si>
  <si>
    <t>Fins(mmol/l)</t>
  </si>
  <si>
    <t>height(cm)</t>
  </si>
  <si>
    <t>weight(Kg)</t>
  </si>
  <si>
    <t>MBI</t>
  </si>
  <si>
    <t>SBP(bpm)</t>
  </si>
  <si>
    <t>DBP(bpm)</t>
  </si>
  <si>
    <t>HOMA-IR</t>
  </si>
  <si>
    <t>hsCRP(mg/L)</t>
  </si>
  <si>
    <t>resting heart rat</t>
  </si>
  <si>
    <t>Age</t>
  </si>
  <si>
    <t>IFN-γ (pg/ml)</t>
  </si>
  <si>
    <t>TNF-α  (pg/ml)</t>
  </si>
  <si>
    <t>IL-6 (pg/ml)</t>
  </si>
  <si>
    <t>IL-4  (pg/ml)</t>
  </si>
  <si>
    <t>LPS(EU/ml)</t>
  </si>
  <si>
    <t>Y101A01</t>
  </si>
  <si>
    <t>R</t>
  </si>
  <si>
    <t>Y101A02</t>
  </si>
  <si>
    <t>Y103A01</t>
  </si>
  <si>
    <t>Y103A02</t>
  </si>
  <si>
    <t>Y127A01</t>
  </si>
  <si>
    <t>NR</t>
  </si>
  <si>
    <t>Y127A02</t>
  </si>
  <si>
    <t>Y140A01</t>
  </si>
  <si>
    <t>Y140A02</t>
  </si>
  <si>
    <t>Y145A01</t>
  </si>
  <si>
    <t>Y145A02</t>
  </si>
  <si>
    <t>Y154A01</t>
  </si>
  <si>
    <t>Y154A02</t>
  </si>
  <si>
    <t>Y161A01</t>
  </si>
  <si>
    <t>Y161A02</t>
  </si>
  <si>
    <t>Y163A01</t>
  </si>
  <si>
    <t>Y163A02</t>
  </si>
  <si>
    <t>Y171A01</t>
  </si>
  <si>
    <t>Y171A02</t>
  </si>
  <si>
    <t>Y180A01</t>
  </si>
  <si>
    <t>Y180A02</t>
  </si>
  <si>
    <t>Y189A01</t>
  </si>
  <si>
    <t>Y189A02</t>
  </si>
  <si>
    <t>Y190A01</t>
  </si>
  <si>
    <t>Y190A02</t>
  </si>
  <si>
    <t>Y19A01</t>
  </si>
  <si>
    <t>5.97</t>
  </si>
  <si>
    <t>Y19A02</t>
  </si>
  <si>
    <t>Y201A01</t>
  </si>
  <si>
    <t>5.27</t>
  </si>
  <si>
    <t>Y201A02</t>
  </si>
  <si>
    <t>Y202A01</t>
  </si>
  <si>
    <t>Y202A02</t>
  </si>
  <si>
    <t>Y252A01</t>
  </si>
  <si>
    <t>5.34</t>
  </si>
  <si>
    <t>Y252A02</t>
  </si>
  <si>
    <t>Y257A01</t>
  </si>
  <si>
    <t>Y257A02</t>
  </si>
  <si>
    <t>Y293A01</t>
  </si>
  <si>
    <t>Y293A02</t>
  </si>
  <si>
    <t>Y300A01</t>
  </si>
  <si>
    <t>5.17</t>
  </si>
  <si>
    <t>Y300A02</t>
  </si>
  <si>
    <t>Y31A01</t>
  </si>
  <si>
    <t>6.16</t>
  </si>
  <si>
    <t>Y31A02</t>
  </si>
  <si>
    <t>Y328A01</t>
  </si>
  <si>
    <t>Y328A02</t>
  </si>
  <si>
    <t>Y333A01</t>
  </si>
  <si>
    <t>Y333A02</t>
  </si>
  <si>
    <t>Y335A01</t>
  </si>
  <si>
    <t>Y335A02</t>
  </si>
  <si>
    <t>Y344A01</t>
  </si>
  <si>
    <t>Y344A02</t>
  </si>
  <si>
    <t>Y60A01</t>
  </si>
  <si>
    <t>Y60A02</t>
  </si>
  <si>
    <t>Y78A01</t>
  </si>
  <si>
    <t>5.53</t>
  </si>
  <si>
    <t>Y78A02</t>
  </si>
  <si>
    <t>Groups(SD pregnant rat)</t>
  </si>
  <si>
    <t>NO. SD pregnant rat</t>
  </si>
  <si>
    <r>
      <t>0min</t>
    </r>
    <r>
      <rPr>
        <sz val="11"/>
        <color theme="1"/>
        <rFont val="等线"/>
        <charset val="134"/>
      </rPr>
      <t>（</t>
    </r>
    <r>
      <rPr>
        <sz val="11"/>
        <color theme="1"/>
        <rFont val="Times New Roman"/>
        <charset val="134"/>
      </rPr>
      <t>FBG (mmol/L)</t>
    </r>
    <r>
      <rPr>
        <sz val="11"/>
        <color theme="1"/>
        <rFont val="等线"/>
        <charset val="134"/>
      </rPr>
      <t>）</t>
    </r>
  </si>
  <si>
    <r>
      <t>15min</t>
    </r>
    <r>
      <rPr>
        <sz val="11"/>
        <color theme="1"/>
        <rFont val="等线"/>
        <charset val="134"/>
      </rPr>
      <t>（</t>
    </r>
    <r>
      <rPr>
        <sz val="11"/>
        <color theme="1"/>
        <rFont val="Times New Roman"/>
        <charset val="134"/>
      </rPr>
      <t>BG</t>
    </r>
    <r>
      <rPr>
        <sz val="11"/>
        <color theme="1"/>
        <rFont val="等线"/>
        <charset val="134"/>
      </rPr>
      <t>）</t>
    </r>
  </si>
  <si>
    <t>30min(BG)</t>
  </si>
  <si>
    <t>60min(BG)</t>
  </si>
  <si>
    <t>120min(BG)</t>
  </si>
  <si>
    <t>180min(BG)</t>
  </si>
  <si>
    <t>Quantity Mean(copies/g)LR</t>
  </si>
  <si>
    <t>Quantity Mean(copies/g)BW</t>
  </si>
  <si>
    <t>BW/LR</t>
  </si>
  <si>
    <t>FIns(mmol/L)</t>
  </si>
  <si>
    <t>IL-10  (pg/ml)</t>
  </si>
  <si>
    <t>IL-9  (pg/ml)</t>
  </si>
  <si>
    <t>IL-17A (pg/ml)</t>
  </si>
  <si>
    <t>IL-13 (pg/ml)</t>
  </si>
  <si>
    <t>IL-6  (pg/ml)</t>
  </si>
  <si>
    <t>Control</t>
  </si>
  <si>
    <t>G1-1</t>
  </si>
  <si>
    <t>G1-2</t>
  </si>
  <si>
    <t>G1-3</t>
  </si>
  <si>
    <t>G1-4</t>
  </si>
  <si>
    <t>G1-5</t>
  </si>
  <si>
    <t>G1-6</t>
  </si>
  <si>
    <t>G1-7</t>
  </si>
  <si>
    <t>G1-8</t>
  </si>
  <si>
    <t>G1-10</t>
  </si>
  <si>
    <t>BW+LR</t>
  </si>
  <si>
    <t>G2-1</t>
  </si>
  <si>
    <t>G2-2</t>
  </si>
  <si>
    <t>G2-3</t>
  </si>
  <si>
    <t>G2-4</t>
  </si>
  <si>
    <t>G2-5</t>
  </si>
  <si>
    <t>G2-6</t>
  </si>
  <si>
    <t>G2-7</t>
  </si>
  <si>
    <t>G2-8</t>
  </si>
  <si>
    <t>G2-10</t>
  </si>
  <si>
    <t>BW</t>
  </si>
  <si>
    <t>G3-1</t>
  </si>
  <si>
    <t>G3-2</t>
  </si>
  <si>
    <t>G3-3</t>
  </si>
  <si>
    <t>G3-4</t>
  </si>
  <si>
    <t>G3-5</t>
  </si>
  <si>
    <t>G3-6</t>
  </si>
  <si>
    <t>G3-7</t>
  </si>
  <si>
    <t>G3-8</t>
  </si>
  <si>
    <t>G3-10</t>
  </si>
  <si>
    <t>LR</t>
  </si>
  <si>
    <t>G4-1</t>
  </si>
  <si>
    <t>G4-2</t>
  </si>
  <si>
    <t>G4-3</t>
  </si>
  <si>
    <t>G4-4</t>
  </si>
  <si>
    <t>G4-5</t>
  </si>
  <si>
    <t>G4-6</t>
  </si>
  <si>
    <t>G4-7</t>
  </si>
  <si>
    <t>G4-8</t>
  </si>
  <si>
    <t>G4-10</t>
  </si>
  <si>
    <t>BW+Gln</t>
  </si>
  <si>
    <t>G5-1</t>
  </si>
  <si>
    <t>G5-2</t>
  </si>
  <si>
    <t>G5-3</t>
  </si>
  <si>
    <t>G5-4</t>
  </si>
  <si>
    <t>G5-5</t>
  </si>
  <si>
    <t>G5-6</t>
  </si>
  <si>
    <t>G5-7</t>
  </si>
  <si>
    <t>G5-8</t>
  </si>
  <si>
    <t>G5-10</t>
  </si>
  <si>
    <t>Gln</t>
  </si>
  <si>
    <t>G6-1</t>
  </si>
  <si>
    <t>G6-2</t>
  </si>
  <si>
    <t>G6-3</t>
  </si>
  <si>
    <t>G6-4</t>
  </si>
  <si>
    <t>G6-5</t>
  </si>
  <si>
    <t>G6-6</t>
  </si>
  <si>
    <t>G6-7</t>
  </si>
  <si>
    <t>G6-8</t>
  </si>
  <si>
    <t>G6-10</t>
  </si>
  <si>
    <t>Groups(Mouse)</t>
  </si>
  <si>
    <t>NO.</t>
  </si>
  <si>
    <t>FBG(mmol/L)</t>
  </si>
  <si>
    <t>IL-5(pg/ml)</t>
  </si>
  <si>
    <t>TNF-α(pg/ml)</t>
  </si>
  <si>
    <t>IL-6(pg/ml)</t>
  </si>
  <si>
    <t>IL-4(pg/ml)</t>
  </si>
  <si>
    <t>IL-9 (pg/ml)</t>
  </si>
  <si>
    <t>IL-22(pg/ml)</t>
  </si>
  <si>
    <t>IL-13(pg/ml)</t>
  </si>
  <si>
    <t>R-FMT-2W</t>
  </si>
  <si>
    <t>B1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</si>
  <si>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</si>
  <si>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</si>
  <si>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</si>
  <si>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</si>
  <si>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</si>
  <si>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</si>
  <si>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</si>
  <si>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</si>
  <si>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</si>
  <si>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</si>
  <si>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</si>
  <si>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</si>
  <si>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</si>
  <si>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</si>
  <si>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</si>
  <si>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</si>
  <si>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</si>
  <si>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</si>
  <si>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</si>
  <si>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B23</t>
  </si>
  <si>
    <t>B24</t>
  </si>
  <si>
    <t>NR-FMT-2W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</si>
  <si>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</si>
  <si>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</si>
  <si>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</si>
  <si>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</si>
  <si>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</si>
  <si>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</si>
  <si>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</si>
  <si>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</si>
  <si>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</si>
  <si>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</si>
  <si>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</si>
  <si>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B39</t>
  </si>
  <si>
    <t>NR-FMT-0W</t>
  </si>
  <si>
    <t>B40</t>
  </si>
  <si>
    <t>B42</t>
  </si>
  <si>
    <t>B43</t>
  </si>
  <si>
    <t>B44</t>
  </si>
  <si>
    <t>B45</t>
  </si>
  <si>
    <t>B46</t>
  </si>
  <si>
    <t>B47</t>
  </si>
  <si>
    <t>B48</t>
  </si>
  <si>
    <t>B50</t>
  </si>
  <si>
    <t>R-FMT-0W</t>
  </si>
  <si>
    <t>B53</t>
  </si>
  <si>
    <t>B54</t>
  </si>
  <si>
    <t>B55</t>
  </si>
  <si>
    <t>B56</t>
  </si>
  <si>
    <t>B57</t>
  </si>
  <si>
    <t>B58</t>
  </si>
  <si>
    <t>B60</t>
  </si>
  <si>
    <t>B61</t>
  </si>
  <si>
    <t>B62</t>
  </si>
  <si>
    <t>B63</t>
  </si>
  <si>
    <t>B64</t>
  </si>
  <si>
    <t>B65</t>
  </si>
  <si>
    <t>NR-FMT-0W+LR</t>
  </si>
  <si>
    <t>B66</t>
  </si>
  <si>
    <t>B67</t>
  </si>
  <si>
    <t>B68</t>
  </si>
  <si>
    <t>B69</t>
  </si>
  <si>
    <t>B70</t>
  </si>
  <si>
    <t>B71</t>
  </si>
  <si>
    <t>B72</t>
  </si>
  <si>
    <t>B73</t>
  </si>
  <si>
    <t>B74</t>
  </si>
  <si>
    <t>B75</t>
  </si>
  <si>
    <t>B76</t>
  </si>
  <si>
    <t>B77</t>
  </si>
  <si>
    <t>NR-FMT-0W+Gln</t>
  </si>
  <si>
    <t>B79</t>
  </si>
  <si>
    <t>B80</t>
  </si>
  <si>
    <t>B81</t>
  </si>
  <si>
    <t>B82</t>
  </si>
  <si>
    <t>B83</t>
  </si>
  <si>
    <t>B84</t>
  </si>
  <si>
    <t>B85</t>
  </si>
  <si>
    <t>B86</t>
  </si>
  <si>
    <t>B87</t>
  </si>
  <si>
    <t>B88</t>
  </si>
  <si>
    <t>B89</t>
  </si>
  <si>
    <t>B90</t>
  </si>
  <si>
    <t>Lacticaseibacillus rhamnosus inhibits the growth of Bilophila wadsworthia in vitro broth medium (liquid co-culture method) at initial ratios of 1:1, 1:2, and 1:3 to prepare co-culture solutions over time.</t>
  </si>
  <si>
    <t>LR/BW bacterial ratio in liquid co-culture</t>
  </si>
  <si>
    <t>BW/LR rate(at 0h)</t>
  </si>
  <si>
    <t>BW/LR rate(at 1h)</t>
  </si>
  <si>
    <t>BW/LR rate(at 2h)</t>
  </si>
  <si>
    <t>BW/LR rate(at 6h)</t>
  </si>
  <si>
    <t>BW/LR rate(at 12h)</t>
  </si>
  <si>
    <t>BW/LR rate(at 24h)</t>
  </si>
  <si>
    <t>1:1</t>
  </si>
  <si>
    <t>1:2</t>
  </si>
  <si>
    <t>1:3</t>
  </si>
  <si>
    <t>Different dilution concentrations of Lacticaseibacillus rhamnosus supernatant inhibit the growth of Bilophila wadsworthia in an in vitro broth medium over time.</t>
  </si>
  <si>
    <t>BW count(0h)</t>
  </si>
  <si>
    <t>BW count(24h)</t>
  </si>
  <si>
    <t>BW count(48h)</t>
  </si>
  <si>
    <t>BW count(72h)</t>
  </si>
  <si>
    <t>mean</t>
  </si>
  <si>
    <t>BHI+BW (CFU)</t>
  </si>
  <si>
    <t>LR-s(0.1ml)+BW  (CFU)</t>
  </si>
  <si>
    <t>LR-s(0.5ml)+BW  (CFU)</t>
  </si>
  <si>
    <t>LR-s(1.0ml)+BW  (CFU)</t>
  </si>
  <si>
    <t>Name</t>
  </si>
  <si>
    <t>Time point</t>
  </si>
  <si>
    <t>BHI</t>
  </si>
  <si>
    <t>Gln（ng/ml）</t>
  </si>
  <si>
    <t>0h</t>
  </si>
  <si>
    <t>48h</t>
  </si>
  <si>
    <t>60h</t>
  </si>
  <si>
    <t>72h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</si>
</sst>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0.0_ "/>
    <numFmt numFmtId="179" formatCode="0.00_);[Red]\(0.00\)"/>
  </numFmts>
  <fonts count="26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b/>
      <sz val="11"/>
      <name val="等线"/>
      <charset val="134"/>
      <scheme val="minor"/>
    </font>
    <font>
      <sz val="11"/>
      <name val="等线"/>
      <charset val="134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等线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9" applyNumberFormat="0" applyAlignment="0" applyProtection="0">
      <alignment vertical="center"/>
    </xf>
    <xf numFmtId="0" fontId="15" fillId="4" borderId="10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5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</cellStyleXfs>
  <cellXfs count="53">
    <xf numFmtId="0" fontId="0" fillId="0" borderId="0" xfId="0"/>
    <xf numFmtId="0" fontId="0" fillId="0" borderId="1" xfId="0" applyBorder="1" applyAlignment="1">
      <alignment horizontal="left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wrapText="1"/>
    </xf>
    <xf numFmtId="20" fontId="0" fillId="0" borderId="1" xfId="0" applyNumberFormat="1" applyBorder="1"/>
    <xf numFmtId="176" fontId="0" fillId="0" borderId="1" xfId="0" applyNumberFormat="1" applyBorder="1"/>
    <xf numFmtId="0" fontId="0" fillId="0" borderId="0" xfId="0" applyAlignment="1">
      <alignment wrapText="1"/>
    </xf>
    <xf numFmtId="49" fontId="0" fillId="0" borderId="0" xfId="0" applyNumberFormat="1" applyAlignment="1">
      <alignment horizontal="right"/>
    </xf>
    <xf numFmtId="177" fontId="0" fillId="0" borderId="0" xfId="0" applyNumberFormat="1"/>
    <xf numFmtId="49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178" fontId="1" fillId="0" borderId="1" xfId="0" applyNumberFormat="1" applyFont="1" applyBorder="1"/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vertical="center"/>
    </xf>
    <xf numFmtId="0" fontId="0" fillId="0" borderId="1" xfId="0" applyFont="1" applyBorder="1" applyAlignment="1">
      <alignment horizontal="center" vertical="center"/>
    </xf>
    <xf numFmtId="178" fontId="0" fillId="0" borderId="1" xfId="0" applyNumberFormat="1" applyBorder="1"/>
    <xf numFmtId="17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179" fontId="0" fillId="0" borderId="1" xfId="0" applyNumberFormat="1" applyBorder="1" applyAlignment="1">
      <alignment horizontal="center"/>
    </xf>
    <xf numFmtId="0" fontId="4" fillId="0" borderId="1" xfId="0" applyFont="1" applyFill="1" applyBorder="1"/>
    <xf numFmtId="178" fontId="4" fillId="0" borderId="1" xfId="0" applyNumberFormat="1" applyFont="1" applyFill="1" applyBorder="1"/>
    <xf numFmtId="0" fontId="4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vertical="center" wrapText="1"/>
    </xf>
    <xf numFmtId="178" fontId="4" fillId="0" borderId="1" xfId="0" applyNumberFormat="1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178" fontId="4" fillId="0" borderId="1" xfId="0" applyNumberFormat="1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178" fontId="4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/>
    </xf>
    <xf numFmtId="0" fontId="4" fillId="0" borderId="1" xfId="0" applyFont="1" applyFill="1" applyBorder="1"/>
    <xf numFmtId="178" fontId="4" fillId="0" borderId="1" xfId="0" applyNumberFormat="1" applyFont="1" applyFill="1" applyBorder="1"/>
    <xf numFmtId="0" fontId="4" fillId="0" borderId="1" xfId="0" applyFont="1" applyFill="1" applyBorder="1" applyAlignment="1">
      <alignment horizontal="center"/>
    </xf>
    <xf numFmtId="179" fontId="4" fillId="0" borderId="1" xfId="0" applyNumberFormat="1" applyFont="1" applyFill="1" applyBorder="1" applyAlignment="1">
      <alignment horizontal="center" vertical="center"/>
    </xf>
    <xf numFmtId="179" fontId="4" fillId="0" borderId="1" xfId="0" applyNumberFormat="1" applyFont="1" applyFill="1" applyBorder="1" applyAlignment="1">
      <alignment horizontal="center"/>
    </xf>
    <xf numFmtId="179" fontId="4" fillId="0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5" xfId="0" applyBorder="1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4"/>
  <sheetViews>
    <sheetView workbookViewId="0">
      <pane xSplit="1" topLeftCell="I1" activePane="topRight" state="frozen"/>
      <selection/>
      <selection pane="topRight" activeCell="X24" sqref="X24"/>
    </sheetView>
  </sheetViews>
  <sheetFormatPr defaultColWidth="9" defaultRowHeight="13.85"/>
  <cols>
    <col min="2" max="2" width="16" customWidth="1"/>
    <col min="3" max="3" width="19.3185840707965" style="50" customWidth="1"/>
    <col min="7" max="7" width="8.60176991150442"/>
    <col min="9" max="9" width="16.3982300884956" customWidth="1"/>
    <col min="14" max="14" width="18.0619469026549" customWidth="1"/>
    <col min="15" max="15" width="13.7345132743363" customWidth="1"/>
    <col min="17" max="17" width="17.070796460177" customWidth="1"/>
    <col min="18" max="18" width="12.0265486725664" customWidth="1"/>
    <col min="21" max="21" width="10.2035398230088" customWidth="1"/>
  </cols>
  <sheetData>
    <row r="1" spans="1:21">
      <c r="A1" t="s">
        <v>0</v>
      </c>
      <c r="B1" t="s">
        <v>1</v>
      </c>
      <c r="C1" s="50" t="s">
        <v>2</v>
      </c>
      <c r="D1" s="51" t="s">
        <v>3</v>
      </c>
      <c r="E1" s="51" t="s">
        <v>4</v>
      </c>
      <c r="F1" s="51" t="s">
        <v>5</v>
      </c>
      <c r="G1" s="51" t="s">
        <v>6</v>
      </c>
      <c r="H1" s="51" t="s">
        <v>7</v>
      </c>
      <c r="I1" s="51" t="s">
        <v>8</v>
      </c>
      <c r="J1" s="51" t="s">
        <v>9</v>
      </c>
      <c r="K1" s="51" t="s">
        <v>10</v>
      </c>
      <c r="L1" s="51" t="s">
        <v>11</v>
      </c>
      <c r="M1" s="51" t="s">
        <v>12</v>
      </c>
      <c r="N1" t="s">
        <v>13</v>
      </c>
      <c r="O1" t="s">
        <v>14</v>
      </c>
      <c r="P1" t="s">
        <v>15</v>
      </c>
      <c r="Q1" s="27" t="s">
        <v>16</v>
      </c>
      <c r="R1" s="27" t="s">
        <v>17</v>
      </c>
      <c r="S1" s="27" t="s">
        <v>18</v>
      </c>
      <c r="T1" s="27" t="s">
        <v>19</v>
      </c>
      <c r="U1" s="52" t="s">
        <v>20</v>
      </c>
    </row>
    <row r="2" spans="1:21">
      <c r="A2" t="s">
        <v>21</v>
      </c>
      <c r="B2" t="s">
        <v>22</v>
      </c>
      <c r="C2" s="50">
        <v>5.3</v>
      </c>
      <c r="D2" s="51">
        <v>4.7</v>
      </c>
      <c r="E2" s="51">
        <v>7.51</v>
      </c>
      <c r="F2" s="51">
        <v>1.44</v>
      </c>
      <c r="G2" s="51">
        <v>15.4</v>
      </c>
      <c r="H2" s="51">
        <v>160</v>
      </c>
      <c r="I2" s="51">
        <v>75.8</v>
      </c>
      <c r="J2" s="51">
        <f t="shared" ref="J2:J33" si="0">I2/(H2*H2)*10000</f>
        <v>29.609375</v>
      </c>
      <c r="K2" s="51">
        <v>77</v>
      </c>
      <c r="L2" s="51">
        <v>134</v>
      </c>
      <c r="M2">
        <f t="shared" ref="M2:M33" si="1">(C2*G2)/22.5</f>
        <v>3.62755555555556</v>
      </c>
      <c r="N2">
        <v>2.59</v>
      </c>
      <c r="O2">
        <v>75</v>
      </c>
      <c r="P2">
        <v>32</v>
      </c>
      <c r="Q2">
        <v>1.11</v>
      </c>
      <c r="R2">
        <v>10.78</v>
      </c>
      <c r="S2">
        <v>2.11</v>
      </c>
      <c r="T2">
        <v>0.41</v>
      </c>
      <c r="U2">
        <v>0.037</v>
      </c>
    </row>
    <row r="3" spans="1:21">
      <c r="A3" t="s">
        <v>23</v>
      </c>
      <c r="B3" t="s">
        <v>22</v>
      </c>
      <c r="C3" s="50">
        <v>4.97</v>
      </c>
      <c r="D3" s="51">
        <v>5.95</v>
      </c>
      <c r="E3" s="51">
        <v>7.18</v>
      </c>
      <c r="F3" s="51">
        <v>1.13</v>
      </c>
      <c r="G3" s="51">
        <v>10</v>
      </c>
      <c r="H3" s="51">
        <v>160</v>
      </c>
      <c r="I3" s="51">
        <v>76.8</v>
      </c>
      <c r="J3" s="51">
        <f t="shared" si="0"/>
        <v>30</v>
      </c>
      <c r="K3" s="51">
        <v>57</v>
      </c>
      <c r="L3" s="51">
        <v>127</v>
      </c>
      <c r="M3">
        <f t="shared" si="1"/>
        <v>2.20888888888889</v>
      </c>
      <c r="N3">
        <v>2.46</v>
      </c>
      <c r="O3">
        <v>85</v>
      </c>
      <c r="Q3">
        <v>1.55</v>
      </c>
      <c r="R3">
        <v>3.22</v>
      </c>
      <c r="S3">
        <v>0.78</v>
      </c>
      <c r="T3">
        <v>0.44</v>
      </c>
      <c r="U3">
        <v>0.047</v>
      </c>
    </row>
    <row r="4" spans="1:21">
      <c r="A4" t="s">
        <v>24</v>
      </c>
      <c r="B4" t="s">
        <v>22</v>
      </c>
      <c r="C4" s="50">
        <v>5.29</v>
      </c>
      <c r="D4" s="51">
        <v>1.75</v>
      </c>
      <c r="E4" s="51">
        <v>6.24</v>
      </c>
      <c r="F4" s="51">
        <v>2.02</v>
      </c>
      <c r="G4" s="51">
        <v>14.5</v>
      </c>
      <c r="H4" s="51">
        <v>169</v>
      </c>
      <c r="I4" s="51">
        <v>61</v>
      </c>
      <c r="J4" s="51">
        <f t="shared" si="0"/>
        <v>21.3577955953923</v>
      </c>
      <c r="K4" s="51">
        <v>48</v>
      </c>
      <c r="L4" s="51">
        <v>119</v>
      </c>
      <c r="M4">
        <f t="shared" si="1"/>
        <v>3.40911111111111</v>
      </c>
      <c r="N4">
        <v>3.05</v>
      </c>
      <c r="O4">
        <v>77</v>
      </c>
      <c r="P4">
        <v>28</v>
      </c>
      <c r="Q4">
        <v>2.11</v>
      </c>
      <c r="R4">
        <v>10.3</v>
      </c>
      <c r="S4">
        <v>1.61</v>
      </c>
      <c r="T4">
        <v>0.46</v>
      </c>
      <c r="U4">
        <v>0.046</v>
      </c>
    </row>
    <row r="5" spans="1:21">
      <c r="A5" t="s">
        <v>25</v>
      </c>
      <c r="B5" t="s">
        <v>22</v>
      </c>
      <c r="C5" s="50">
        <v>4.93</v>
      </c>
      <c r="D5" s="51">
        <v>2.76</v>
      </c>
      <c r="E5" s="51">
        <v>6.91</v>
      </c>
      <c r="F5" s="51">
        <v>2.02</v>
      </c>
      <c r="G5" s="51">
        <v>10.3</v>
      </c>
      <c r="H5" s="51">
        <v>169</v>
      </c>
      <c r="I5" s="51">
        <v>62.6</v>
      </c>
      <c r="J5" s="51">
        <f t="shared" si="0"/>
        <v>21.9180000700256</v>
      </c>
      <c r="K5" s="51">
        <v>61</v>
      </c>
      <c r="L5" s="51">
        <v>106</v>
      </c>
      <c r="M5">
        <f t="shared" si="1"/>
        <v>2.25684444444444</v>
      </c>
      <c r="N5">
        <v>3.01</v>
      </c>
      <c r="O5">
        <v>80</v>
      </c>
      <c r="Q5">
        <v>1.54</v>
      </c>
      <c r="R5">
        <v>4.1</v>
      </c>
      <c r="S5">
        <v>0.99</v>
      </c>
      <c r="T5">
        <v>0.55</v>
      </c>
      <c r="U5">
        <v>0.054</v>
      </c>
    </row>
    <row r="6" spans="1:21">
      <c r="A6" t="s">
        <v>26</v>
      </c>
      <c r="B6" t="s">
        <v>27</v>
      </c>
      <c r="C6" s="50">
        <v>5.36</v>
      </c>
      <c r="D6" s="51">
        <v>3.14</v>
      </c>
      <c r="E6" s="51">
        <v>5.21</v>
      </c>
      <c r="F6" s="51">
        <v>1.63</v>
      </c>
      <c r="G6" s="51">
        <v>10.2</v>
      </c>
      <c r="H6" s="51">
        <v>156</v>
      </c>
      <c r="I6" s="51">
        <v>64</v>
      </c>
      <c r="J6" s="51">
        <f t="shared" si="0"/>
        <v>26.2984878369494</v>
      </c>
      <c r="K6" s="51">
        <v>69</v>
      </c>
      <c r="L6" s="51">
        <v>114</v>
      </c>
      <c r="M6">
        <f t="shared" si="1"/>
        <v>2.42986666666667</v>
      </c>
      <c r="N6">
        <v>4.11</v>
      </c>
      <c r="O6">
        <v>65</v>
      </c>
      <c r="P6">
        <v>29</v>
      </c>
      <c r="Q6">
        <v>4.89</v>
      </c>
      <c r="R6">
        <v>33.3</v>
      </c>
      <c r="S6">
        <v>7.16</v>
      </c>
      <c r="T6">
        <v>2.4</v>
      </c>
      <c r="U6">
        <v>0.098</v>
      </c>
    </row>
    <row r="7" spans="1:21">
      <c r="A7" t="s">
        <v>28</v>
      </c>
      <c r="B7" t="s">
        <v>27</v>
      </c>
      <c r="C7" s="50">
        <v>5.79</v>
      </c>
      <c r="D7" s="51">
        <v>4.44</v>
      </c>
      <c r="E7" s="51">
        <v>5.68</v>
      </c>
      <c r="F7" s="51">
        <v>1.49</v>
      </c>
      <c r="G7" s="51">
        <v>10.5</v>
      </c>
      <c r="H7" s="51">
        <v>156</v>
      </c>
      <c r="I7" s="51">
        <v>65.5</v>
      </c>
      <c r="J7" s="51">
        <f t="shared" si="0"/>
        <v>26.9148586456279</v>
      </c>
      <c r="K7" s="51">
        <v>69</v>
      </c>
      <c r="L7" s="51">
        <v>115</v>
      </c>
      <c r="M7">
        <f t="shared" si="1"/>
        <v>2.702</v>
      </c>
      <c r="N7">
        <v>3.98</v>
      </c>
      <c r="O7">
        <v>70</v>
      </c>
      <c r="Q7">
        <v>1.96</v>
      </c>
      <c r="R7">
        <v>27.29</v>
      </c>
      <c r="S7">
        <v>6.68</v>
      </c>
      <c r="T7">
        <v>0.89</v>
      </c>
      <c r="U7">
        <v>0.041</v>
      </c>
    </row>
    <row r="8" spans="1:21">
      <c r="A8" t="s">
        <v>29</v>
      </c>
      <c r="B8" t="s">
        <v>27</v>
      </c>
      <c r="C8" s="50">
        <v>5.54</v>
      </c>
      <c r="D8" s="51">
        <v>2.81</v>
      </c>
      <c r="E8" s="51">
        <v>4.98</v>
      </c>
      <c r="F8" s="51">
        <v>1.82</v>
      </c>
      <c r="G8" s="51">
        <v>16.9</v>
      </c>
      <c r="H8" s="51">
        <v>160</v>
      </c>
      <c r="I8" s="51">
        <v>68.4</v>
      </c>
      <c r="J8" s="51">
        <f t="shared" si="0"/>
        <v>26.71875</v>
      </c>
      <c r="K8" s="51">
        <v>69</v>
      </c>
      <c r="L8" s="51">
        <v>117</v>
      </c>
      <c r="M8">
        <f t="shared" si="1"/>
        <v>4.16115555555556</v>
      </c>
      <c r="N8">
        <v>2.36</v>
      </c>
      <c r="O8">
        <v>77</v>
      </c>
      <c r="P8">
        <v>31</v>
      </c>
      <c r="Q8">
        <v>8.87</v>
      </c>
      <c r="R8">
        <v>15.43</v>
      </c>
      <c r="S8">
        <v>17.17</v>
      </c>
      <c r="T8">
        <v>6.54</v>
      </c>
      <c r="U8">
        <v>0.042</v>
      </c>
    </row>
    <row r="9" spans="1:21">
      <c r="A9" t="s">
        <v>30</v>
      </c>
      <c r="B9" t="s">
        <v>27</v>
      </c>
      <c r="C9" s="50">
        <v>5.25</v>
      </c>
      <c r="D9" s="51">
        <v>4.18</v>
      </c>
      <c r="E9" s="51">
        <v>5.77</v>
      </c>
      <c r="F9" s="51">
        <v>1.33</v>
      </c>
      <c r="G9" s="51">
        <v>10.5</v>
      </c>
      <c r="H9" s="51">
        <v>160</v>
      </c>
      <c r="I9" s="51">
        <v>69.2</v>
      </c>
      <c r="J9" s="51">
        <f t="shared" si="0"/>
        <v>27.03125</v>
      </c>
      <c r="K9" s="51">
        <v>68</v>
      </c>
      <c r="L9" s="51">
        <v>126</v>
      </c>
      <c r="M9">
        <f t="shared" si="1"/>
        <v>2.45</v>
      </c>
      <c r="N9">
        <v>2.45</v>
      </c>
      <c r="O9">
        <v>78</v>
      </c>
      <c r="Q9">
        <v>9.66</v>
      </c>
      <c r="R9">
        <v>14.27</v>
      </c>
      <c r="S9">
        <v>16</v>
      </c>
      <c r="T9">
        <v>4.85</v>
      </c>
      <c r="U9">
        <v>0.043</v>
      </c>
    </row>
    <row r="10" spans="1:21">
      <c r="A10" t="s">
        <v>31</v>
      </c>
      <c r="B10" t="s">
        <v>22</v>
      </c>
      <c r="C10" s="50">
        <v>5.39</v>
      </c>
      <c r="D10" s="51">
        <v>4.16</v>
      </c>
      <c r="E10" s="51">
        <v>6.6</v>
      </c>
      <c r="F10" s="51">
        <v>2.04</v>
      </c>
      <c r="G10" s="51">
        <v>17.9</v>
      </c>
      <c r="H10" s="51">
        <v>160</v>
      </c>
      <c r="I10" s="51">
        <v>79</v>
      </c>
      <c r="J10" s="51">
        <f t="shared" si="0"/>
        <v>30.859375</v>
      </c>
      <c r="K10" s="51">
        <v>84</v>
      </c>
      <c r="L10" s="51">
        <v>135</v>
      </c>
      <c r="M10">
        <f t="shared" si="1"/>
        <v>4.28804444444444</v>
      </c>
      <c r="N10">
        <v>3.33</v>
      </c>
      <c r="O10">
        <v>80</v>
      </c>
      <c r="P10">
        <v>38</v>
      </c>
      <c r="Q10">
        <v>1.41</v>
      </c>
      <c r="R10">
        <v>6.38</v>
      </c>
      <c r="S10">
        <v>1.24</v>
      </c>
      <c r="T10">
        <v>1.49</v>
      </c>
      <c r="U10">
        <v>0.034</v>
      </c>
    </row>
    <row r="11" spans="1:21">
      <c r="A11" t="s">
        <v>32</v>
      </c>
      <c r="B11" t="s">
        <v>22</v>
      </c>
      <c r="C11" s="50">
        <v>5.06</v>
      </c>
      <c r="D11" s="51">
        <v>4.99</v>
      </c>
      <c r="E11" s="51">
        <v>6.95</v>
      </c>
      <c r="F11" s="51">
        <v>2.05</v>
      </c>
      <c r="G11" s="51">
        <v>13.1</v>
      </c>
      <c r="H11" s="51">
        <v>160</v>
      </c>
      <c r="I11" s="51">
        <v>82</v>
      </c>
      <c r="J11" s="51">
        <f t="shared" si="0"/>
        <v>32.03125</v>
      </c>
      <c r="K11" s="51">
        <v>75</v>
      </c>
      <c r="L11" s="51">
        <v>130</v>
      </c>
      <c r="M11">
        <f t="shared" si="1"/>
        <v>2.94604444444444</v>
      </c>
      <c r="N11">
        <v>3.05</v>
      </c>
      <c r="O11">
        <v>71</v>
      </c>
      <c r="Q11">
        <v>0.71</v>
      </c>
      <c r="R11">
        <v>4.01</v>
      </c>
      <c r="S11">
        <v>0.93</v>
      </c>
      <c r="T11">
        <v>0.94</v>
      </c>
      <c r="U11">
        <v>0.035</v>
      </c>
    </row>
    <row r="12" spans="1:21">
      <c r="A12" t="s">
        <v>33</v>
      </c>
      <c r="B12" t="s">
        <v>27</v>
      </c>
      <c r="C12" s="50">
        <v>5.47</v>
      </c>
      <c r="D12" s="51">
        <v>2.74</v>
      </c>
      <c r="E12" s="51">
        <v>5.76</v>
      </c>
      <c r="F12" s="51">
        <v>1.26</v>
      </c>
      <c r="G12" s="51">
        <v>13.1</v>
      </c>
      <c r="H12" s="51">
        <v>152</v>
      </c>
      <c r="I12" s="51">
        <v>56.4</v>
      </c>
      <c r="J12" s="51">
        <f t="shared" si="0"/>
        <v>24.4113573407202</v>
      </c>
      <c r="K12" s="51">
        <v>64</v>
      </c>
      <c r="L12" s="51">
        <v>114</v>
      </c>
      <c r="M12">
        <f t="shared" si="1"/>
        <v>3.18475555555556</v>
      </c>
      <c r="N12">
        <v>4.29</v>
      </c>
      <c r="O12">
        <v>77</v>
      </c>
      <c r="P12">
        <v>41</v>
      </c>
      <c r="Q12">
        <v>1.82</v>
      </c>
      <c r="R12">
        <v>5.48</v>
      </c>
      <c r="S12">
        <v>3.17</v>
      </c>
      <c r="T12">
        <v>1.39</v>
      </c>
      <c r="U12">
        <v>0.036</v>
      </c>
    </row>
    <row r="13" spans="1:21">
      <c r="A13" t="s">
        <v>34</v>
      </c>
      <c r="B13" t="s">
        <v>27</v>
      </c>
      <c r="C13" s="50">
        <v>6</v>
      </c>
      <c r="D13" s="51">
        <v>3.22</v>
      </c>
      <c r="E13" s="51">
        <v>6.54</v>
      </c>
      <c r="F13" s="51">
        <v>1.04</v>
      </c>
      <c r="G13" s="51">
        <v>13.2</v>
      </c>
      <c r="H13" s="51">
        <v>152</v>
      </c>
      <c r="I13" s="51">
        <v>55.9</v>
      </c>
      <c r="J13" s="51">
        <f t="shared" si="0"/>
        <v>24.194944598338</v>
      </c>
      <c r="K13" s="51">
        <v>68</v>
      </c>
      <c r="L13" s="51">
        <v>123</v>
      </c>
      <c r="M13">
        <f t="shared" si="1"/>
        <v>3.52</v>
      </c>
      <c r="N13">
        <v>4.19</v>
      </c>
      <c r="O13">
        <v>75</v>
      </c>
      <c r="Q13">
        <v>2.02</v>
      </c>
      <c r="R13">
        <v>6.26</v>
      </c>
      <c r="S13">
        <v>3.77</v>
      </c>
      <c r="T13">
        <v>1.86</v>
      </c>
      <c r="U13">
        <v>0.067</v>
      </c>
    </row>
    <row r="14" spans="1:21">
      <c r="A14" t="s">
        <v>35</v>
      </c>
      <c r="B14" t="s">
        <v>27</v>
      </c>
      <c r="C14" s="50">
        <v>5.64</v>
      </c>
      <c r="D14" s="51">
        <v>3.07</v>
      </c>
      <c r="E14" s="51">
        <v>4.78</v>
      </c>
      <c r="F14" s="51">
        <v>1.87</v>
      </c>
      <c r="G14" s="51">
        <v>14.2</v>
      </c>
      <c r="H14" s="51">
        <v>158</v>
      </c>
      <c r="I14" s="51">
        <v>72.1</v>
      </c>
      <c r="J14" s="51">
        <f t="shared" si="0"/>
        <v>28.881589488864</v>
      </c>
      <c r="K14" s="51">
        <v>79</v>
      </c>
      <c r="L14" s="51">
        <v>125</v>
      </c>
      <c r="M14">
        <f t="shared" si="1"/>
        <v>3.55946666666667</v>
      </c>
      <c r="N14">
        <v>2.45</v>
      </c>
      <c r="O14">
        <v>69</v>
      </c>
      <c r="P14">
        <v>47</v>
      </c>
      <c r="Q14">
        <v>4.82</v>
      </c>
      <c r="R14">
        <v>29.69</v>
      </c>
      <c r="S14">
        <v>16.49</v>
      </c>
      <c r="T14">
        <v>3.31</v>
      </c>
      <c r="U14">
        <v>0.098</v>
      </c>
    </row>
    <row r="15" spans="1:21">
      <c r="A15" t="s">
        <v>36</v>
      </c>
      <c r="B15" t="s">
        <v>27</v>
      </c>
      <c r="C15" s="50">
        <v>5.12</v>
      </c>
      <c r="D15" s="51">
        <v>3.89</v>
      </c>
      <c r="E15" s="51">
        <v>4.65</v>
      </c>
      <c r="F15" s="51">
        <v>1.7</v>
      </c>
      <c r="G15" s="51">
        <v>10.2</v>
      </c>
      <c r="H15" s="51">
        <v>158</v>
      </c>
      <c r="I15" s="51">
        <v>71.9</v>
      </c>
      <c r="J15" s="51">
        <f t="shared" si="0"/>
        <v>28.8014741227367</v>
      </c>
      <c r="K15" s="51">
        <v>84</v>
      </c>
      <c r="L15" s="51">
        <v>150</v>
      </c>
      <c r="M15">
        <f t="shared" si="1"/>
        <v>2.32106666666667</v>
      </c>
      <c r="N15">
        <v>2.44</v>
      </c>
      <c r="O15">
        <v>72</v>
      </c>
      <c r="Q15">
        <v>4.02</v>
      </c>
      <c r="R15">
        <v>26.05</v>
      </c>
      <c r="S15">
        <v>15.74</v>
      </c>
      <c r="T15">
        <v>1.99</v>
      </c>
      <c r="U15">
        <v>0.089</v>
      </c>
    </row>
    <row r="16" spans="1:21">
      <c r="A16" t="s">
        <v>37</v>
      </c>
      <c r="B16" t="s">
        <v>27</v>
      </c>
      <c r="C16" s="50">
        <v>5.55</v>
      </c>
      <c r="D16" s="51">
        <v>4.81</v>
      </c>
      <c r="E16" s="51">
        <v>4.29</v>
      </c>
      <c r="F16" s="51">
        <v>1.52</v>
      </c>
      <c r="G16" s="51">
        <v>14.5</v>
      </c>
      <c r="H16" s="51">
        <v>169</v>
      </c>
      <c r="I16" s="51">
        <v>89</v>
      </c>
      <c r="J16" s="51">
        <f t="shared" si="0"/>
        <v>31.161373901474</v>
      </c>
      <c r="K16" s="51">
        <v>74</v>
      </c>
      <c r="L16" s="51">
        <v>122</v>
      </c>
      <c r="M16">
        <f t="shared" si="1"/>
        <v>3.57666666666667</v>
      </c>
      <c r="N16">
        <v>3.01</v>
      </c>
      <c r="O16">
        <v>80</v>
      </c>
      <c r="P16">
        <v>27</v>
      </c>
      <c r="Q16">
        <v>2.89</v>
      </c>
      <c r="R16">
        <v>29.64</v>
      </c>
      <c r="S16">
        <v>9.48</v>
      </c>
      <c r="T16">
        <v>2.3</v>
      </c>
      <c r="U16">
        <v>0.06</v>
      </c>
    </row>
    <row r="17" spans="1:21">
      <c r="A17" t="s">
        <v>38</v>
      </c>
      <c r="B17" t="s">
        <v>27</v>
      </c>
      <c r="C17" s="50">
        <v>5.56</v>
      </c>
      <c r="D17" s="51">
        <v>6.17</v>
      </c>
      <c r="E17" s="51">
        <v>4.21</v>
      </c>
      <c r="F17" s="51">
        <v>1.44</v>
      </c>
      <c r="G17" s="51">
        <v>11.1</v>
      </c>
      <c r="H17" s="51">
        <v>169</v>
      </c>
      <c r="I17" s="51">
        <v>89</v>
      </c>
      <c r="J17" s="51">
        <f t="shared" si="0"/>
        <v>31.161373901474</v>
      </c>
      <c r="K17" s="51">
        <v>67</v>
      </c>
      <c r="L17" s="51">
        <v>114</v>
      </c>
      <c r="M17">
        <f t="shared" si="1"/>
        <v>2.74293333333333</v>
      </c>
      <c r="N17">
        <v>2.66</v>
      </c>
      <c r="O17">
        <v>78</v>
      </c>
      <c r="Q17">
        <v>6.02</v>
      </c>
      <c r="R17">
        <v>23.18</v>
      </c>
      <c r="S17">
        <v>7.75</v>
      </c>
      <c r="T17">
        <v>1.93</v>
      </c>
      <c r="U17">
        <v>0.091</v>
      </c>
    </row>
    <row r="18" spans="1:21">
      <c r="A18" t="s">
        <v>39</v>
      </c>
      <c r="B18" t="s">
        <v>27</v>
      </c>
      <c r="C18" s="50">
        <v>5.3</v>
      </c>
      <c r="D18" s="51">
        <v>2.82</v>
      </c>
      <c r="E18" s="51">
        <v>6.12</v>
      </c>
      <c r="F18" s="51">
        <v>1.59</v>
      </c>
      <c r="G18" s="51">
        <v>8.8</v>
      </c>
      <c r="H18" s="51">
        <v>154</v>
      </c>
      <c r="I18" s="51">
        <v>56</v>
      </c>
      <c r="J18" s="51">
        <f t="shared" si="0"/>
        <v>23.6127508854782</v>
      </c>
      <c r="K18" s="51">
        <v>69</v>
      </c>
      <c r="L18" s="51">
        <v>109</v>
      </c>
      <c r="M18">
        <f t="shared" si="1"/>
        <v>2.07288888888889</v>
      </c>
      <c r="N18">
        <v>3.98</v>
      </c>
      <c r="O18">
        <v>82</v>
      </c>
      <c r="P18">
        <v>32</v>
      </c>
      <c r="Q18">
        <v>0.89</v>
      </c>
      <c r="R18">
        <v>7.62</v>
      </c>
      <c r="S18">
        <v>2.41</v>
      </c>
      <c r="T18">
        <v>0.38</v>
      </c>
      <c r="U18">
        <v>0.022</v>
      </c>
    </row>
    <row r="19" spans="1:21">
      <c r="A19" t="s">
        <v>40</v>
      </c>
      <c r="B19" t="s">
        <v>27</v>
      </c>
      <c r="C19" s="50">
        <v>5.54</v>
      </c>
      <c r="D19" s="51">
        <v>3.18</v>
      </c>
      <c r="E19" s="51">
        <v>6.22</v>
      </c>
      <c r="F19" s="51">
        <v>1.79</v>
      </c>
      <c r="G19" s="51">
        <v>7.4</v>
      </c>
      <c r="H19" s="51">
        <v>154</v>
      </c>
      <c r="I19" s="51">
        <v>56.2</v>
      </c>
      <c r="J19" s="51">
        <f t="shared" si="0"/>
        <v>23.6970821386406</v>
      </c>
      <c r="K19" s="51">
        <v>50</v>
      </c>
      <c r="L19" s="51">
        <v>110</v>
      </c>
      <c r="M19">
        <f t="shared" si="1"/>
        <v>1.82204444444444</v>
      </c>
      <c r="N19">
        <v>4.3</v>
      </c>
      <c r="O19">
        <v>75</v>
      </c>
      <c r="Q19">
        <v>2.02</v>
      </c>
      <c r="R19">
        <v>8.16</v>
      </c>
      <c r="S19">
        <v>3.05</v>
      </c>
      <c r="T19">
        <v>1.86</v>
      </c>
      <c r="U19">
        <v>0.053</v>
      </c>
    </row>
    <row r="20" spans="1:21">
      <c r="A20" t="s">
        <v>41</v>
      </c>
      <c r="B20" t="s">
        <v>22</v>
      </c>
      <c r="C20" s="50">
        <v>5.46</v>
      </c>
      <c r="D20" s="51">
        <v>3.62</v>
      </c>
      <c r="E20" s="51">
        <v>3.91</v>
      </c>
      <c r="F20" s="51">
        <v>1.26</v>
      </c>
      <c r="G20" s="51">
        <v>14.5</v>
      </c>
      <c r="H20" s="51">
        <v>160</v>
      </c>
      <c r="I20" s="51">
        <v>71.2</v>
      </c>
      <c r="J20" s="51">
        <f t="shared" si="0"/>
        <v>27.8125</v>
      </c>
      <c r="K20" s="51">
        <v>75</v>
      </c>
      <c r="L20" s="51">
        <v>125</v>
      </c>
      <c r="M20">
        <f t="shared" si="1"/>
        <v>3.51866666666667</v>
      </c>
      <c r="N20">
        <v>4.02</v>
      </c>
      <c r="O20">
        <v>74</v>
      </c>
      <c r="P20">
        <v>39</v>
      </c>
      <c r="Q20">
        <v>2.91</v>
      </c>
      <c r="R20">
        <v>4.31</v>
      </c>
      <c r="S20">
        <v>4.11</v>
      </c>
      <c r="T20">
        <v>1.45</v>
      </c>
      <c r="U20">
        <v>0.084</v>
      </c>
    </row>
    <row r="21" spans="1:21">
      <c r="A21" t="s">
        <v>42</v>
      </c>
      <c r="B21" t="s">
        <v>22</v>
      </c>
      <c r="C21" s="50">
        <v>5.28</v>
      </c>
      <c r="D21" s="51">
        <v>4.59</v>
      </c>
      <c r="E21" s="51">
        <v>4.5</v>
      </c>
      <c r="F21" s="51">
        <v>1.25</v>
      </c>
      <c r="G21" s="51">
        <v>9.3</v>
      </c>
      <c r="H21" s="51">
        <v>160</v>
      </c>
      <c r="I21" s="51">
        <v>71.8</v>
      </c>
      <c r="J21" s="51">
        <f t="shared" si="0"/>
        <v>28.046875</v>
      </c>
      <c r="K21" s="51">
        <v>72</v>
      </c>
      <c r="L21" s="51">
        <v>125</v>
      </c>
      <c r="M21">
        <f t="shared" si="1"/>
        <v>2.1824</v>
      </c>
      <c r="N21">
        <v>4.13</v>
      </c>
      <c r="O21">
        <v>81</v>
      </c>
      <c r="Q21">
        <v>1.01</v>
      </c>
      <c r="R21">
        <v>3.99</v>
      </c>
      <c r="S21">
        <v>1.02</v>
      </c>
      <c r="T21">
        <v>0.52</v>
      </c>
      <c r="U21">
        <v>0.015</v>
      </c>
    </row>
    <row r="22" spans="1:21">
      <c r="A22" t="s">
        <v>43</v>
      </c>
      <c r="B22" t="s">
        <v>27</v>
      </c>
      <c r="C22" s="50">
        <v>5.32</v>
      </c>
      <c r="D22" s="51">
        <v>2.26</v>
      </c>
      <c r="E22" s="51">
        <v>4.31</v>
      </c>
      <c r="F22" s="51">
        <v>1.43</v>
      </c>
      <c r="G22" s="51">
        <v>9.6</v>
      </c>
      <c r="H22" s="51">
        <v>159</v>
      </c>
      <c r="I22" s="51">
        <v>61.4</v>
      </c>
      <c r="J22" s="51">
        <f t="shared" si="0"/>
        <v>24.2870139630553</v>
      </c>
      <c r="K22" s="51">
        <v>58</v>
      </c>
      <c r="L22" s="51">
        <v>96</v>
      </c>
      <c r="M22">
        <f t="shared" si="1"/>
        <v>2.26986666666667</v>
      </c>
      <c r="N22">
        <v>2.99</v>
      </c>
      <c r="O22">
        <v>68</v>
      </c>
      <c r="P22">
        <v>35</v>
      </c>
      <c r="Q22">
        <v>2.87</v>
      </c>
      <c r="R22">
        <v>17.54</v>
      </c>
      <c r="S22">
        <v>8.49</v>
      </c>
      <c r="T22">
        <v>2.39</v>
      </c>
      <c r="U22">
        <v>0.116</v>
      </c>
    </row>
    <row r="23" spans="1:21">
      <c r="A23" t="s">
        <v>44</v>
      </c>
      <c r="B23" t="s">
        <v>27</v>
      </c>
      <c r="C23" s="50">
        <v>5.31</v>
      </c>
      <c r="D23" s="51">
        <v>2.35</v>
      </c>
      <c r="E23" s="51">
        <v>4.53</v>
      </c>
      <c r="F23" s="51">
        <v>1.74</v>
      </c>
      <c r="G23" s="51">
        <v>11.8</v>
      </c>
      <c r="H23" s="51">
        <v>159</v>
      </c>
      <c r="I23" s="51">
        <v>61</v>
      </c>
      <c r="J23" s="51">
        <f t="shared" si="0"/>
        <v>24.1287923737194</v>
      </c>
      <c r="K23" s="51">
        <v>64</v>
      </c>
      <c r="L23" s="51">
        <v>104</v>
      </c>
      <c r="M23">
        <f t="shared" si="1"/>
        <v>2.7848</v>
      </c>
      <c r="N23">
        <v>3.1</v>
      </c>
      <c r="O23">
        <v>73</v>
      </c>
      <c r="Q23">
        <v>2.99</v>
      </c>
      <c r="R23">
        <v>11.95</v>
      </c>
      <c r="S23">
        <v>10.99</v>
      </c>
      <c r="T23">
        <v>1.92</v>
      </c>
      <c r="U23">
        <v>0.077</v>
      </c>
    </row>
    <row r="24" spans="1:21">
      <c r="A24" t="s">
        <v>45</v>
      </c>
      <c r="B24" t="s">
        <v>27</v>
      </c>
      <c r="C24" s="50">
        <v>6.12</v>
      </c>
      <c r="D24" s="51">
        <v>2.25</v>
      </c>
      <c r="E24" s="51">
        <v>4.3</v>
      </c>
      <c r="F24" s="51">
        <v>1.4</v>
      </c>
      <c r="G24" s="51">
        <v>16.6</v>
      </c>
      <c r="H24" s="51">
        <v>158</v>
      </c>
      <c r="I24" s="51">
        <v>59</v>
      </c>
      <c r="J24" s="51">
        <f t="shared" si="0"/>
        <v>23.6340330075308</v>
      </c>
      <c r="K24" s="51">
        <v>84</v>
      </c>
      <c r="L24" s="51">
        <v>125</v>
      </c>
      <c r="M24">
        <f t="shared" si="1"/>
        <v>4.5152</v>
      </c>
      <c r="N24">
        <v>5.01</v>
      </c>
      <c r="O24">
        <v>72</v>
      </c>
      <c r="P24">
        <v>31</v>
      </c>
      <c r="Q24">
        <v>2.07</v>
      </c>
      <c r="R24">
        <v>17.58</v>
      </c>
      <c r="S24">
        <v>8.48</v>
      </c>
      <c r="T24">
        <v>2.39</v>
      </c>
      <c r="U24">
        <v>0.128</v>
      </c>
    </row>
    <row r="25" spans="1:21">
      <c r="A25" t="s">
        <v>46</v>
      </c>
      <c r="B25" t="s">
        <v>27</v>
      </c>
      <c r="C25" s="50">
        <v>6.12</v>
      </c>
      <c r="D25" s="51">
        <v>2.31</v>
      </c>
      <c r="E25" s="51">
        <v>4.43</v>
      </c>
      <c r="F25" s="51">
        <v>1.73</v>
      </c>
      <c r="G25" s="51">
        <v>15</v>
      </c>
      <c r="H25" s="51">
        <v>158</v>
      </c>
      <c r="I25" s="51">
        <v>59.5</v>
      </c>
      <c r="J25" s="51">
        <f t="shared" si="0"/>
        <v>23.8343214228489</v>
      </c>
      <c r="K25" s="51">
        <v>83</v>
      </c>
      <c r="L25" s="51">
        <v>117</v>
      </c>
      <c r="M25">
        <f t="shared" si="1"/>
        <v>4.08</v>
      </c>
      <c r="N25">
        <v>3.99</v>
      </c>
      <c r="O25">
        <v>72</v>
      </c>
      <c r="Q25">
        <v>1.96</v>
      </c>
      <c r="R25">
        <v>11.03</v>
      </c>
      <c r="S25">
        <v>5.93</v>
      </c>
      <c r="T25">
        <v>1.8</v>
      </c>
      <c r="U25">
        <v>0.179</v>
      </c>
    </row>
    <row r="26" spans="1:21">
      <c r="A26" t="s">
        <v>47</v>
      </c>
      <c r="B26" t="s">
        <v>27</v>
      </c>
      <c r="C26" s="50" t="s">
        <v>48</v>
      </c>
      <c r="D26" s="51">
        <v>3.65</v>
      </c>
      <c r="E26" s="51">
        <v>5.11</v>
      </c>
      <c r="F26" s="51">
        <v>1.38</v>
      </c>
      <c r="G26" s="51">
        <v>24.8</v>
      </c>
      <c r="H26" s="51">
        <v>158</v>
      </c>
      <c r="I26" s="51">
        <v>60</v>
      </c>
      <c r="J26" s="51">
        <f t="shared" si="0"/>
        <v>24.034609838167</v>
      </c>
      <c r="K26" s="51">
        <v>63</v>
      </c>
      <c r="L26" s="51">
        <v>121</v>
      </c>
      <c r="M26">
        <f t="shared" si="1"/>
        <v>6.58026666666667</v>
      </c>
      <c r="N26">
        <v>2.05</v>
      </c>
      <c r="O26">
        <v>65</v>
      </c>
      <c r="P26">
        <v>32</v>
      </c>
      <c r="Q26">
        <v>3.08</v>
      </c>
      <c r="R26">
        <v>12.57</v>
      </c>
      <c r="S26">
        <v>7.45</v>
      </c>
      <c r="T26">
        <v>1.86</v>
      </c>
      <c r="U26">
        <v>0.117</v>
      </c>
    </row>
    <row r="27" spans="1:21">
      <c r="A27" t="s">
        <v>49</v>
      </c>
      <c r="B27" t="s">
        <v>27</v>
      </c>
      <c r="C27" s="50">
        <v>6.06</v>
      </c>
      <c r="D27" s="51">
        <v>4.37</v>
      </c>
      <c r="E27" s="51">
        <v>4.98</v>
      </c>
      <c r="F27" s="51">
        <v>1.27</v>
      </c>
      <c r="G27" s="51">
        <v>15.8</v>
      </c>
      <c r="H27" s="51">
        <v>158</v>
      </c>
      <c r="I27" s="51">
        <v>65</v>
      </c>
      <c r="J27" s="51">
        <f t="shared" si="0"/>
        <v>26.0374939913475</v>
      </c>
      <c r="K27" s="51">
        <v>68</v>
      </c>
      <c r="L27" s="51">
        <v>113</v>
      </c>
      <c r="M27">
        <f t="shared" si="1"/>
        <v>4.25546666666667</v>
      </c>
      <c r="N27">
        <v>1.8</v>
      </c>
      <c r="O27">
        <v>65</v>
      </c>
      <c r="Q27">
        <v>4.97</v>
      </c>
      <c r="R27">
        <v>11.15</v>
      </c>
      <c r="S27">
        <v>6.94</v>
      </c>
      <c r="T27">
        <v>2.39</v>
      </c>
      <c r="U27">
        <v>0.101</v>
      </c>
    </row>
    <row r="28" spans="1:21">
      <c r="A28" t="s">
        <v>50</v>
      </c>
      <c r="B28" t="s">
        <v>27</v>
      </c>
      <c r="C28" s="50" t="s">
        <v>51</v>
      </c>
      <c r="D28" s="51">
        <v>2.29</v>
      </c>
      <c r="E28" s="51">
        <v>5.09</v>
      </c>
      <c r="F28" s="51">
        <v>1.67</v>
      </c>
      <c r="G28" s="51">
        <v>19.3</v>
      </c>
      <c r="H28" s="51">
        <v>163</v>
      </c>
      <c r="I28" s="51">
        <v>80</v>
      </c>
      <c r="J28" s="51">
        <f t="shared" si="0"/>
        <v>30.1102788964583</v>
      </c>
      <c r="K28" s="51">
        <v>69</v>
      </c>
      <c r="L28" s="51">
        <v>124</v>
      </c>
      <c r="M28">
        <f t="shared" si="1"/>
        <v>4.52048888888889</v>
      </c>
      <c r="N28">
        <v>5.03</v>
      </c>
      <c r="O28">
        <v>72</v>
      </c>
      <c r="P28">
        <v>31</v>
      </c>
      <c r="Q28">
        <v>3.11</v>
      </c>
      <c r="R28">
        <v>13.56</v>
      </c>
      <c r="S28">
        <v>7.77</v>
      </c>
      <c r="T28">
        <v>3.58</v>
      </c>
      <c r="U28">
        <v>0.032</v>
      </c>
    </row>
    <row r="29" spans="1:21">
      <c r="A29" t="s">
        <v>52</v>
      </c>
      <c r="B29" t="s">
        <v>27</v>
      </c>
      <c r="C29" s="50">
        <v>4.78</v>
      </c>
      <c r="D29" s="51">
        <v>3.05</v>
      </c>
      <c r="E29" s="51">
        <v>4.88</v>
      </c>
      <c r="F29" s="51">
        <v>1.44</v>
      </c>
      <c r="G29" s="51">
        <v>15.4</v>
      </c>
      <c r="H29" s="51">
        <v>163</v>
      </c>
      <c r="I29" s="51">
        <v>80</v>
      </c>
      <c r="J29" s="51">
        <f t="shared" si="0"/>
        <v>30.1102788964583</v>
      </c>
      <c r="K29" s="51">
        <v>70</v>
      </c>
      <c r="L29" s="51">
        <v>112</v>
      </c>
      <c r="M29">
        <f t="shared" si="1"/>
        <v>3.27164444444444</v>
      </c>
      <c r="N29">
        <v>3.45</v>
      </c>
      <c r="O29">
        <v>75</v>
      </c>
      <c r="Q29">
        <v>4.17</v>
      </c>
      <c r="R29">
        <v>11.06</v>
      </c>
      <c r="S29">
        <v>6.99</v>
      </c>
      <c r="T29">
        <v>1.39</v>
      </c>
      <c r="U29">
        <v>0.063</v>
      </c>
    </row>
    <row r="30" spans="1:21">
      <c r="A30" t="s">
        <v>53</v>
      </c>
      <c r="B30" t="s">
        <v>27</v>
      </c>
      <c r="C30" s="50">
        <v>5.15</v>
      </c>
      <c r="D30" s="51">
        <v>4.53</v>
      </c>
      <c r="E30" s="51">
        <v>4.83</v>
      </c>
      <c r="F30" s="51">
        <v>1.56</v>
      </c>
      <c r="G30" s="51">
        <v>9.5</v>
      </c>
      <c r="H30" s="51">
        <v>158</v>
      </c>
      <c r="I30" s="51">
        <v>72</v>
      </c>
      <c r="J30" s="51">
        <f t="shared" si="0"/>
        <v>28.8415318058004</v>
      </c>
      <c r="K30" s="51">
        <v>78</v>
      </c>
      <c r="L30" s="51">
        <v>139</v>
      </c>
      <c r="M30">
        <f t="shared" si="1"/>
        <v>2.17444444444444</v>
      </c>
      <c r="N30">
        <v>1.67</v>
      </c>
      <c r="O30">
        <v>69</v>
      </c>
      <c r="P30">
        <v>38</v>
      </c>
      <c r="Q30">
        <v>0.51</v>
      </c>
      <c r="R30">
        <v>3.56</v>
      </c>
      <c r="S30">
        <v>1.73</v>
      </c>
      <c r="T30">
        <v>0.93</v>
      </c>
      <c r="U30">
        <v>0.094</v>
      </c>
    </row>
    <row r="31" spans="1:21">
      <c r="A31" t="s">
        <v>54</v>
      </c>
      <c r="B31" t="s">
        <v>27</v>
      </c>
      <c r="C31" s="50">
        <v>5.04</v>
      </c>
      <c r="D31" s="51">
        <v>5.69</v>
      </c>
      <c r="E31" s="51">
        <v>4.98</v>
      </c>
      <c r="F31" s="51">
        <v>1.55</v>
      </c>
      <c r="G31" s="51">
        <v>11.8</v>
      </c>
      <c r="H31" s="51">
        <v>158</v>
      </c>
      <c r="I31" s="51">
        <v>72.7</v>
      </c>
      <c r="J31" s="51">
        <f t="shared" si="0"/>
        <v>29.1219355872456</v>
      </c>
      <c r="K31" s="51">
        <v>78</v>
      </c>
      <c r="L31" s="51">
        <v>121</v>
      </c>
      <c r="M31">
        <f t="shared" si="1"/>
        <v>2.6432</v>
      </c>
      <c r="N31">
        <v>2.05</v>
      </c>
      <c r="O31">
        <v>76</v>
      </c>
      <c r="Q31">
        <v>0.77</v>
      </c>
      <c r="R31">
        <v>3.76</v>
      </c>
      <c r="S31">
        <v>2.9</v>
      </c>
      <c r="T31">
        <v>1.01</v>
      </c>
      <c r="U31">
        <v>0.025</v>
      </c>
    </row>
    <row r="32" spans="1:21">
      <c r="A32" t="s">
        <v>55</v>
      </c>
      <c r="B32" t="s">
        <v>27</v>
      </c>
      <c r="C32" s="50" t="s">
        <v>56</v>
      </c>
      <c r="D32" s="51">
        <v>2.39</v>
      </c>
      <c r="E32" s="51">
        <v>4.17</v>
      </c>
      <c r="F32" s="51">
        <v>1.78</v>
      </c>
      <c r="G32" s="51">
        <v>28.9</v>
      </c>
      <c r="H32" s="51">
        <v>160</v>
      </c>
      <c r="I32" s="51">
        <v>76.8</v>
      </c>
      <c r="J32" s="51">
        <f t="shared" si="0"/>
        <v>30</v>
      </c>
      <c r="K32" s="51">
        <v>60</v>
      </c>
      <c r="L32" s="51">
        <v>118</v>
      </c>
      <c r="M32">
        <f t="shared" si="1"/>
        <v>6.85893333333333</v>
      </c>
      <c r="N32">
        <v>3.33</v>
      </c>
      <c r="O32">
        <v>78</v>
      </c>
      <c r="P32">
        <v>37</v>
      </c>
      <c r="Q32">
        <v>2.56</v>
      </c>
      <c r="R32">
        <v>13.22</v>
      </c>
      <c r="S32">
        <v>6.77</v>
      </c>
      <c r="T32">
        <v>2.24</v>
      </c>
      <c r="U32">
        <v>0.056</v>
      </c>
    </row>
    <row r="33" spans="1:21">
      <c r="A33" t="s">
        <v>57</v>
      </c>
      <c r="B33" t="s">
        <v>27</v>
      </c>
      <c r="C33" s="50">
        <v>5.82</v>
      </c>
      <c r="D33" s="51">
        <v>2.29</v>
      </c>
      <c r="E33" s="51">
        <v>4.27</v>
      </c>
      <c r="F33" s="51">
        <v>1.6</v>
      </c>
      <c r="G33" s="51">
        <v>19.7</v>
      </c>
      <c r="H33" s="51">
        <v>160</v>
      </c>
      <c r="I33" s="51">
        <v>77</v>
      </c>
      <c r="J33" s="51">
        <f t="shared" si="0"/>
        <v>30.078125</v>
      </c>
      <c r="K33" s="51">
        <v>62</v>
      </c>
      <c r="L33" s="51">
        <v>122</v>
      </c>
      <c r="M33">
        <f t="shared" si="1"/>
        <v>5.09573333333333</v>
      </c>
      <c r="N33">
        <v>4.97</v>
      </c>
      <c r="O33">
        <v>67</v>
      </c>
      <c r="Q33">
        <v>2.75</v>
      </c>
      <c r="R33">
        <v>13</v>
      </c>
      <c r="S33">
        <v>5.19</v>
      </c>
      <c r="T33">
        <v>2.01</v>
      </c>
      <c r="U33">
        <v>0.087</v>
      </c>
    </row>
    <row r="34" spans="1:21">
      <c r="A34" t="s">
        <v>58</v>
      </c>
      <c r="B34" t="s">
        <v>27</v>
      </c>
      <c r="C34" s="50">
        <v>6.8</v>
      </c>
      <c r="D34" s="51">
        <v>3.39</v>
      </c>
      <c r="E34" s="51">
        <v>4.72</v>
      </c>
      <c r="F34" s="51">
        <v>1.63</v>
      </c>
      <c r="G34" s="51">
        <v>18.2</v>
      </c>
      <c r="H34" s="51">
        <v>165</v>
      </c>
      <c r="I34" s="51">
        <v>78.4</v>
      </c>
      <c r="J34" s="51">
        <f t="shared" ref="J34:J53" si="2">I34/(H34*H34)*10000</f>
        <v>28.7970615243343</v>
      </c>
      <c r="K34" s="51">
        <v>76</v>
      </c>
      <c r="L34" s="51">
        <v>128</v>
      </c>
      <c r="M34">
        <f t="shared" ref="M34:M53" si="3">(C34*G34)/22.5</f>
        <v>5.50044444444444</v>
      </c>
      <c r="N34">
        <v>2.24</v>
      </c>
      <c r="O34">
        <v>84</v>
      </c>
      <c r="P34">
        <v>31</v>
      </c>
      <c r="Q34">
        <v>1.06</v>
      </c>
      <c r="R34">
        <v>3.22</v>
      </c>
      <c r="S34">
        <v>2.79</v>
      </c>
      <c r="T34">
        <v>0.59</v>
      </c>
      <c r="U34">
        <v>0.058</v>
      </c>
    </row>
    <row r="35" spans="1:21">
      <c r="A35" t="s">
        <v>59</v>
      </c>
      <c r="B35" t="s">
        <v>27</v>
      </c>
      <c r="C35" s="50">
        <v>5.6</v>
      </c>
      <c r="D35" s="51">
        <v>2.86</v>
      </c>
      <c r="E35" s="51">
        <v>6.24</v>
      </c>
      <c r="F35" s="51">
        <v>1.75</v>
      </c>
      <c r="G35" s="51">
        <v>11</v>
      </c>
      <c r="H35" s="51">
        <v>165</v>
      </c>
      <c r="I35" s="51">
        <v>77.3</v>
      </c>
      <c r="J35" s="51">
        <f t="shared" si="2"/>
        <v>28.3930211202938</v>
      </c>
      <c r="K35" s="51">
        <v>85</v>
      </c>
      <c r="L35" s="51">
        <v>159</v>
      </c>
      <c r="M35">
        <f t="shared" si="3"/>
        <v>2.73777777777778</v>
      </c>
      <c r="N35">
        <v>2.55</v>
      </c>
      <c r="O35">
        <v>80</v>
      </c>
      <c r="Q35">
        <v>1.02</v>
      </c>
      <c r="R35">
        <v>3.02</v>
      </c>
      <c r="S35">
        <v>3.11</v>
      </c>
      <c r="T35">
        <v>1.01</v>
      </c>
      <c r="U35">
        <v>0.059</v>
      </c>
    </row>
    <row r="36" spans="1:21">
      <c r="A36" t="s">
        <v>60</v>
      </c>
      <c r="B36" t="s">
        <v>27</v>
      </c>
      <c r="C36" s="50">
        <v>5.66</v>
      </c>
      <c r="D36" s="51">
        <v>1.89</v>
      </c>
      <c r="E36" s="51">
        <v>4.17</v>
      </c>
      <c r="F36" s="51">
        <v>1.8</v>
      </c>
      <c r="G36" s="51">
        <v>25</v>
      </c>
      <c r="H36" s="51">
        <v>160</v>
      </c>
      <c r="I36" s="51">
        <v>63</v>
      </c>
      <c r="J36" s="51">
        <f t="shared" si="2"/>
        <v>24.609375</v>
      </c>
      <c r="K36" s="51">
        <v>51</v>
      </c>
      <c r="L36" s="51">
        <v>106</v>
      </c>
      <c r="M36">
        <f t="shared" si="3"/>
        <v>6.28888888888889</v>
      </c>
      <c r="N36">
        <v>1.05</v>
      </c>
      <c r="O36">
        <v>64</v>
      </c>
      <c r="P36">
        <v>33</v>
      </c>
      <c r="Q36">
        <v>4.03</v>
      </c>
      <c r="R36">
        <v>20.01</v>
      </c>
      <c r="S36">
        <v>9.11</v>
      </c>
      <c r="T36">
        <v>2.22</v>
      </c>
      <c r="U36">
        <v>0.08</v>
      </c>
    </row>
    <row r="37" spans="1:21">
      <c r="A37" t="s">
        <v>61</v>
      </c>
      <c r="B37" t="s">
        <v>27</v>
      </c>
      <c r="C37" s="50">
        <v>5.05</v>
      </c>
      <c r="D37" s="51">
        <v>2.88</v>
      </c>
      <c r="E37" s="51">
        <v>5.11</v>
      </c>
      <c r="F37" s="51">
        <v>2.3</v>
      </c>
      <c r="G37" s="51">
        <v>17.3</v>
      </c>
      <c r="H37" s="51">
        <v>160</v>
      </c>
      <c r="I37" s="51">
        <v>68</v>
      </c>
      <c r="J37" s="51">
        <f t="shared" si="2"/>
        <v>26.5625</v>
      </c>
      <c r="K37" s="51">
        <v>59</v>
      </c>
      <c r="L37" s="51">
        <v>110</v>
      </c>
      <c r="M37">
        <f t="shared" si="3"/>
        <v>3.88288888888889</v>
      </c>
      <c r="N37">
        <v>2.22</v>
      </c>
      <c r="O37">
        <v>70</v>
      </c>
      <c r="Q37">
        <v>3.92</v>
      </c>
      <c r="R37">
        <v>17.29</v>
      </c>
      <c r="S37">
        <v>10.19</v>
      </c>
      <c r="T37">
        <v>1.17</v>
      </c>
      <c r="U37">
        <v>0.011</v>
      </c>
    </row>
    <row r="38" spans="1:21">
      <c r="A38" t="s">
        <v>62</v>
      </c>
      <c r="B38" t="s">
        <v>27</v>
      </c>
      <c r="C38" s="50" t="s">
        <v>63</v>
      </c>
      <c r="D38" s="51">
        <v>1.82</v>
      </c>
      <c r="E38" s="51">
        <v>6.51</v>
      </c>
      <c r="F38" s="51">
        <v>2.85</v>
      </c>
      <c r="G38" s="51">
        <v>8.6</v>
      </c>
      <c r="H38" s="51">
        <v>167</v>
      </c>
      <c r="I38" s="51">
        <v>78.1</v>
      </c>
      <c r="J38" s="51">
        <f t="shared" si="2"/>
        <v>28.0038724945319</v>
      </c>
      <c r="K38" s="51">
        <v>75</v>
      </c>
      <c r="L38" s="51">
        <v>127</v>
      </c>
      <c r="M38">
        <f t="shared" si="3"/>
        <v>1.97608888888889</v>
      </c>
      <c r="N38">
        <v>3.23</v>
      </c>
      <c r="O38">
        <v>71</v>
      </c>
      <c r="P38">
        <v>33</v>
      </c>
      <c r="Q38">
        <v>2.04</v>
      </c>
      <c r="R38">
        <v>7.55</v>
      </c>
      <c r="S38">
        <v>7.05</v>
      </c>
      <c r="T38">
        <v>1.88</v>
      </c>
      <c r="U38">
        <v>0.042</v>
      </c>
    </row>
    <row r="39" spans="1:21">
      <c r="A39" t="s">
        <v>64</v>
      </c>
      <c r="B39" t="s">
        <v>27</v>
      </c>
      <c r="C39" s="50">
        <v>4.9</v>
      </c>
      <c r="D39" s="51">
        <v>2.18</v>
      </c>
      <c r="E39" s="51">
        <v>6.93</v>
      </c>
      <c r="F39" s="51">
        <v>2.79</v>
      </c>
      <c r="G39" s="51">
        <v>8.6</v>
      </c>
      <c r="H39" s="51">
        <v>167</v>
      </c>
      <c r="I39" s="51">
        <v>79.1</v>
      </c>
      <c r="J39" s="51">
        <f t="shared" si="2"/>
        <v>28.3624368030406</v>
      </c>
      <c r="K39" s="51">
        <v>68</v>
      </c>
      <c r="L39" s="51">
        <v>116</v>
      </c>
      <c r="M39">
        <f t="shared" si="3"/>
        <v>1.87288888888889</v>
      </c>
      <c r="N39">
        <v>1.9</v>
      </c>
      <c r="O39">
        <v>75</v>
      </c>
      <c r="Q39">
        <v>1.28</v>
      </c>
      <c r="R39">
        <v>8.99</v>
      </c>
      <c r="S39">
        <v>4.32</v>
      </c>
      <c r="T39">
        <v>2.01</v>
      </c>
      <c r="U39">
        <v>0.073</v>
      </c>
    </row>
    <row r="40" spans="1:21">
      <c r="A40" t="s">
        <v>65</v>
      </c>
      <c r="B40" t="s">
        <v>27</v>
      </c>
      <c r="C40" s="50" t="s">
        <v>66</v>
      </c>
      <c r="D40" s="51">
        <v>3.17</v>
      </c>
      <c r="E40" s="51">
        <v>6.84</v>
      </c>
      <c r="F40" s="51">
        <v>1.52</v>
      </c>
      <c r="G40" s="51">
        <v>16.3</v>
      </c>
      <c r="H40" s="51">
        <v>155</v>
      </c>
      <c r="I40" s="51">
        <v>65</v>
      </c>
      <c r="J40" s="51">
        <f t="shared" si="2"/>
        <v>27.0551508844953</v>
      </c>
      <c r="K40" s="51">
        <v>69</v>
      </c>
      <c r="L40" s="51">
        <v>122</v>
      </c>
      <c r="M40">
        <f t="shared" si="3"/>
        <v>4.46257777777778</v>
      </c>
      <c r="N40">
        <v>2.03</v>
      </c>
      <c r="O40">
        <v>90</v>
      </c>
      <c r="P40">
        <v>38</v>
      </c>
      <c r="Q40">
        <v>2.43</v>
      </c>
      <c r="R40">
        <v>4.03</v>
      </c>
      <c r="S40">
        <v>3.34</v>
      </c>
      <c r="T40">
        <v>1.11</v>
      </c>
      <c r="U40">
        <v>0.199</v>
      </c>
    </row>
    <row r="41" spans="1:21">
      <c r="A41" t="s">
        <v>67</v>
      </c>
      <c r="B41" t="s">
        <v>27</v>
      </c>
      <c r="C41" s="50">
        <v>6.14</v>
      </c>
      <c r="D41" s="51">
        <v>5.03</v>
      </c>
      <c r="E41" s="51">
        <v>8.05</v>
      </c>
      <c r="F41" s="51">
        <v>1.56</v>
      </c>
      <c r="G41" s="51">
        <v>7.3</v>
      </c>
      <c r="H41" s="51">
        <v>155</v>
      </c>
      <c r="I41" s="51">
        <v>68.1</v>
      </c>
      <c r="J41" s="51">
        <f t="shared" si="2"/>
        <v>28.3454734651405</v>
      </c>
      <c r="K41" s="51">
        <v>50</v>
      </c>
      <c r="L41" s="51">
        <v>110</v>
      </c>
      <c r="M41">
        <f t="shared" si="3"/>
        <v>1.99208888888889</v>
      </c>
      <c r="N41">
        <v>3.45</v>
      </c>
      <c r="O41">
        <v>78</v>
      </c>
      <c r="Q41">
        <v>2.22</v>
      </c>
      <c r="R41">
        <v>4</v>
      </c>
      <c r="S41">
        <v>2.13</v>
      </c>
      <c r="T41">
        <v>1.49</v>
      </c>
      <c r="U41">
        <v>0.149</v>
      </c>
    </row>
    <row r="42" spans="1:21">
      <c r="A42" t="s">
        <v>68</v>
      </c>
      <c r="B42" t="s">
        <v>22</v>
      </c>
      <c r="C42" s="50">
        <v>5.31</v>
      </c>
      <c r="D42" s="51">
        <v>3.31</v>
      </c>
      <c r="E42" s="51">
        <v>5.81</v>
      </c>
      <c r="F42" s="51">
        <v>1.79</v>
      </c>
      <c r="G42" s="51">
        <v>8.2</v>
      </c>
      <c r="H42" s="51">
        <v>165</v>
      </c>
      <c r="I42" s="51">
        <v>66</v>
      </c>
      <c r="J42" s="51">
        <f t="shared" si="2"/>
        <v>24.2424242424242</v>
      </c>
      <c r="K42" s="51">
        <v>90</v>
      </c>
      <c r="L42" s="51">
        <v>143</v>
      </c>
      <c r="M42">
        <f t="shared" si="3"/>
        <v>1.9352</v>
      </c>
      <c r="N42">
        <v>3.33</v>
      </c>
      <c r="O42">
        <v>76</v>
      </c>
      <c r="P42">
        <v>41</v>
      </c>
      <c r="Q42">
        <v>1.18</v>
      </c>
      <c r="R42">
        <v>10.08</v>
      </c>
      <c r="S42">
        <v>4.1</v>
      </c>
      <c r="T42">
        <v>1.44</v>
      </c>
      <c r="U42">
        <v>0.066</v>
      </c>
    </row>
    <row r="43" spans="1:21">
      <c r="A43" t="s">
        <v>69</v>
      </c>
      <c r="B43" t="s">
        <v>22</v>
      </c>
      <c r="C43" s="50">
        <v>4.98</v>
      </c>
      <c r="D43" s="51">
        <v>4.2</v>
      </c>
      <c r="E43" s="51">
        <v>6.28</v>
      </c>
      <c r="F43" s="51">
        <v>1.77</v>
      </c>
      <c r="G43" s="51">
        <v>6.3</v>
      </c>
      <c r="H43" s="51">
        <v>165</v>
      </c>
      <c r="I43" s="51">
        <v>65</v>
      </c>
      <c r="J43" s="51">
        <f t="shared" si="2"/>
        <v>23.8751147842057</v>
      </c>
      <c r="K43" s="51">
        <v>83</v>
      </c>
      <c r="L43" s="51">
        <v>146</v>
      </c>
      <c r="M43">
        <f t="shared" si="3"/>
        <v>1.3944</v>
      </c>
      <c r="N43">
        <v>3.33</v>
      </c>
      <c r="O43">
        <v>80</v>
      </c>
      <c r="Q43">
        <v>0.59</v>
      </c>
      <c r="R43">
        <v>3</v>
      </c>
      <c r="S43">
        <v>3.1</v>
      </c>
      <c r="T43">
        <v>0.51</v>
      </c>
      <c r="U43">
        <v>0.067</v>
      </c>
    </row>
    <row r="44" spans="1:21">
      <c r="A44" t="s">
        <v>70</v>
      </c>
      <c r="B44" t="s">
        <v>22</v>
      </c>
      <c r="C44" s="50">
        <v>5.35</v>
      </c>
      <c r="D44" s="51">
        <v>4.03</v>
      </c>
      <c r="E44" s="51">
        <v>7.08</v>
      </c>
      <c r="F44" s="51">
        <v>1.75</v>
      </c>
      <c r="G44" s="51">
        <v>16</v>
      </c>
      <c r="H44" s="51">
        <v>162</v>
      </c>
      <c r="I44" s="51">
        <v>58.5</v>
      </c>
      <c r="J44" s="51">
        <f t="shared" si="2"/>
        <v>22.2908093278464</v>
      </c>
      <c r="K44" s="51">
        <v>63</v>
      </c>
      <c r="L44" s="51">
        <v>104</v>
      </c>
      <c r="M44">
        <f t="shared" si="3"/>
        <v>3.80444444444444</v>
      </c>
      <c r="N44">
        <v>4.05</v>
      </c>
      <c r="O44">
        <v>71</v>
      </c>
      <c r="P44">
        <v>28</v>
      </c>
      <c r="Q44">
        <v>2.41</v>
      </c>
      <c r="R44">
        <v>20.38</v>
      </c>
      <c r="S44">
        <v>3.23</v>
      </c>
      <c r="T44">
        <v>1.37</v>
      </c>
      <c r="U44">
        <v>0.028</v>
      </c>
    </row>
    <row r="45" spans="1:21">
      <c r="A45" t="s">
        <v>71</v>
      </c>
      <c r="B45" t="s">
        <v>22</v>
      </c>
      <c r="C45" s="50">
        <v>4.16</v>
      </c>
      <c r="D45" s="51">
        <v>7.61</v>
      </c>
      <c r="E45" s="51">
        <v>9.28</v>
      </c>
      <c r="F45" s="51">
        <v>1.57</v>
      </c>
      <c r="G45" s="51">
        <v>11.5</v>
      </c>
      <c r="H45" s="51">
        <v>162</v>
      </c>
      <c r="I45" s="51">
        <v>60.4</v>
      </c>
      <c r="J45" s="51">
        <f t="shared" si="2"/>
        <v>23.0147843316568</v>
      </c>
      <c r="K45" s="51">
        <v>77</v>
      </c>
      <c r="L45" s="51">
        <v>128</v>
      </c>
      <c r="M45">
        <f t="shared" si="3"/>
        <v>2.12622222222222</v>
      </c>
      <c r="N45">
        <v>2.01</v>
      </c>
      <c r="O45">
        <v>82</v>
      </c>
      <c r="Q45">
        <v>2</v>
      </c>
      <c r="R45">
        <v>6.96</v>
      </c>
      <c r="S45">
        <v>3.42</v>
      </c>
      <c r="T45">
        <v>1.4</v>
      </c>
      <c r="U45">
        <v>0.039</v>
      </c>
    </row>
    <row r="46" spans="1:21">
      <c r="A46" t="s">
        <v>72</v>
      </c>
      <c r="B46" t="s">
        <v>27</v>
      </c>
      <c r="C46" s="50">
        <v>5.53</v>
      </c>
      <c r="D46" s="51">
        <v>1.7</v>
      </c>
      <c r="E46" s="51">
        <v>6.36</v>
      </c>
      <c r="F46" s="51">
        <v>1.92</v>
      </c>
      <c r="G46" s="51">
        <v>27.3</v>
      </c>
      <c r="H46" s="51">
        <v>160</v>
      </c>
      <c r="I46" s="51">
        <v>53</v>
      </c>
      <c r="J46" s="51">
        <f t="shared" si="2"/>
        <v>20.703125</v>
      </c>
      <c r="K46" s="51">
        <v>72</v>
      </c>
      <c r="L46" s="51">
        <v>120</v>
      </c>
      <c r="M46">
        <f t="shared" si="3"/>
        <v>6.70973333333333</v>
      </c>
      <c r="N46">
        <v>6.11</v>
      </c>
      <c r="O46">
        <v>88</v>
      </c>
      <c r="P46">
        <v>26</v>
      </c>
      <c r="Q46">
        <v>5.22</v>
      </c>
      <c r="R46">
        <v>28.09</v>
      </c>
      <c r="S46">
        <v>11</v>
      </c>
      <c r="T46">
        <v>2.66</v>
      </c>
      <c r="U46">
        <v>0.199</v>
      </c>
    </row>
    <row r="47" spans="1:21">
      <c r="A47" t="s">
        <v>73</v>
      </c>
      <c r="B47" t="s">
        <v>27</v>
      </c>
      <c r="C47" s="50">
        <v>5.61</v>
      </c>
      <c r="D47" s="51">
        <v>2.69</v>
      </c>
      <c r="E47" s="51">
        <v>5.91</v>
      </c>
      <c r="F47" s="51">
        <v>1.76</v>
      </c>
      <c r="G47" s="51">
        <v>17.8</v>
      </c>
      <c r="H47" s="51">
        <v>160</v>
      </c>
      <c r="I47" s="51">
        <v>53</v>
      </c>
      <c r="J47" s="51">
        <f t="shared" si="2"/>
        <v>20.703125</v>
      </c>
      <c r="K47" s="51">
        <v>71</v>
      </c>
      <c r="L47" s="51">
        <v>111</v>
      </c>
      <c r="M47">
        <f t="shared" si="3"/>
        <v>4.43813333333333</v>
      </c>
      <c r="N47">
        <v>3.01</v>
      </c>
      <c r="O47">
        <v>72</v>
      </c>
      <c r="Q47">
        <v>4.29</v>
      </c>
      <c r="R47">
        <v>23.99</v>
      </c>
      <c r="S47">
        <v>9.28</v>
      </c>
      <c r="T47">
        <v>1.49</v>
      </c>
      <c r="U47">
        <v>0.121</v>
      </c>
    </row>
    <row r="48" spans="1:21">
      <c r="A48" t="s">
        <v>74</v>
      </c>
      <c r="B48" t="s">
        <v>27</v>
      </c>
      <c r="C48" s="50">
        <v>5.11</v>
      </c>
      <c r="D48" s="51">
        <v>2.96</v>
      </c>
      <c r="E48" s="51">
        <v>5.77</v>
      </c>
      <c r="F48" s="51">
        <v>1.76</v>
      </c>
      <c r="G48" s="51">
        <v>18.02</v>
      </c>
      <c r="H48" s="51">
        <v>150</v>
      </c>
      <c r="I48" s="51">
        <v>63.4</v>
      </c>
      <c r="J48" s="51">
        <f t="shared" si="2"/>
        <v>28.1777777777778</v>
      </c>
      <c r="K48" s="51">
        <v>62</v>
      </c>
      <c r="L48" s="51">
        <v>101</v>
      </c>
      <c r="M48">
        <f t="shared" si="3"/>
        <v>4.09254222222222</v>
      </c>
      <c r="N48">
        <v>1.07</v>
      </c>
      <c r="O48">
        <v>69</v>
      </c>
      <c r="P48">
        <v>37</v>
      </c>
      <c r="Q48">
        <v>1.22</v>
      </c>
      <c r="R48">
        <v>6.33</v>
      </c>
      <c r="S48">
        <v>4.03</v>
      </c>
      <c r="T48">
        <v>0.58</v>
      </c>
      <c r="U48">
        <v>0.052</v>
      </c>
    </row>
    <row r="49" spans="1:21">
      <c r="A49" t="s">
        <v>75</v>
      </c>
      <c r="B49" t="s">
        <v>27</v>
      </c>
      <c r="C49" s="50">
        <v>5.13</v>
      </c>
      <c r="D49" s="51">
        <v>5.16</v>
      </c>
      <c r="E49" s="51">
        <v>6.31</v>
      </c>
      <c r="F49" s="51">
        <v>1.8</v>
      </c>
      <c r="G49" s="51">
        <v>15.1</v>
      </c>
      <c r="H49" s="51">
        <v>150</v>
      </c>
      <c r="I49" s="51">
        <v>64.8</v>
      </c>
      <c r="J49" s="51">
        <f t="shared" si="2"/>
        <v>28.8</v>
      </c>
      <c r="K49" s="51">
        <v>58</v>
      </c>
      <c r="L49" s="51">
        <v>91</v>
      </c>
      <c r="M49">
        <f t="shared" si="3"/>
        <v>3.4428</v>
      </c>
      <c r="N49">
        <v>1.06</v>
      </c>
      <c r="O49">
        <v>67</v>
      </c>
      <c r="Q49">
        <v>1.2</v>
      </c>
      <c r="R49">
        <v>2.01</v>
      </c>
      <c r="S49">
        <v>1.09</v>
      </c>
      <c r="T49">
        <v>1.01</v>
      </c>
      <c r="U49">
        <v>0.083</v>
      </c>
    </row>
    <row r="50" spans="1:21">
      <c r="A50" t="s">
        <v>76</v>
      </c>
      <c r="B50" t="s">
        <v>22</v>
      </c>
      <c r="C50" s="50">
        <v>5.41</v>
      </c>
      <c r="D50" s="51">
        <v>2.29</v>
      </c>
      <c r="E50" s="51">
        <v>4.26</v>
      </c>
      <c r="F50" s="51">
        <v>1.43</v>
      </c>
      <c r="G50" s="51">
        <v>15.2</v>
      </c>
      <c r="H50" s="51">
        <v>157</v>
      </c>
      <c r="I50" s="51">
        <v>64</v>
      </c>
      <c r="J50" s="51">
        <f t="shared" si="2"/>
        <v>25.9645421720962</v>
      </c>
      <c r="K50" s="51">
        <v>56</v>
      </c>
      <c r="L50" s="51">
        <v>109</v>
      </c>
      <c r="M50">
        <f t="shared" si="3"/>
        <v>3.65475555555556</v>
      </c>
      <c r="N50">
        <v>1.06</v>
      </c>
      <c r="O50">
        <v>66</v>
      </c>
      <c r="P50">
        <v>31</v>
      </c>
      <c r="Q50">
        <v>5.48</v>
      </c>
      <c r="R50">
        <v>5.38</v>
      </c>
      <c r="S50">
        <v>2.23</v>
      </c>
      <c r="T50">
        <v>1.59</v>
      </c>
      <c r="U50">
        <v>0.014</v>
      </c>
    </row>
    <row r="51" spans="1:21">
      <c r="A51" t="s">
        <v>77</v>
      </c>
      <c r="B51" t="s">
        <v>22</v>
      </c>
      <c r="C51" s="50">
        <v>3.64</v>
      </c>
      <c r="D51" s="51">
        <v>2.18</v>
      </c>
      <c r="E51" s="51">
        <v>4.67</v>
      </c>
      <c r="F51" s="51">
        <v>1.47</v>
      </c>
      <c r="G51" s="51">
        <v>9.9</v>
      </c>
      <c r="H51" s="51">
        <v>157</v>
      </c>
      <c r="I51" s="51">
        <v>66</v>
      </c>
      <c r="J51" s="51">
        <f t="shared" si="2"/>
        <v>26.7759341149742</v>
      </c>
      <c r="K51" s="51">
        <v>56</v>
      </c>
      <c r="L51" s="51">
        <v>120</v>
      </c>
      <c r="M51">
        <f t="shared" si="3"/>
        <v>1.6016</v>
      </c>
      <c r="N51">
        <v>4.22</v>
      </c>
      <c r="O51">
        <v>64</v>
      </c>
      <c r="Q51">
        <v>2.66</v>
      </c>
      <c r="R51">
        <v>2.06</v>
      </c>
      <c r="S51">
        <v>1.02</v>
      </c>
      <c r="T51">
        <v>1.7</v>
      </c>
      <c r="U51">
        <v>0.009</v>
      </c>
    </row>
    <row r="52" spans="1:21">
      <c r="A52" t="s">
        <v>78</v>
      </c>
      <c r="B52" t="s">
        <v>27</v>
      </c>
      <c r="C52" s="50" t="s">
        <v>79</v>
      </c>
      <c r="D52" s="51">
        <v>2.37</v>
      </c>
      <c r="E52" s="51">
        <v>5.56</v>
      </c>
      <c r="F52" s="51">
        <v>1.59</v>
      </c>
      <c r="G52" s="51">
        <v>9.8</v>
      </c>
      <c r="H52" s="51">
        <v>163</v>
      </c>
      <c r="I52" s="51">
        <v>66.3</v>
      </c>
      <c r="J52" s="51">
        <f t="shared" si="2"/>
        <v>24.9538936354398</v>
      </c>
      <c r="K52" s="51">
        <v>90</v>
      </c>
      <c r="L52" s="51">
        <v>120</v>
      </c>
      <c r="M52">
        <f t="shared" si="3"/>
        <v>2.40862222222222</v>
      </c>
      <c r="N52">
        <v>2.11</v>
      </c>
      <c r="O52">
        <v>61</v>
      </c>
      <c r="P52">
        <v>42</v>
      </c>
      <c r="Q52">
        <v>3.86</v>
      </c>
      <c r="R52">
        <v>29.05</v>
      </c>
      <c r="S52">
        <v>14</v>
      </c>
      <c r="T52">
        <v>1.66</v>
      </c>
      <c r="U52">
        <v>0.176</v>
      </c>
    </row>
    <row r="53" spans="1:21">
      <c r="A53" t="s">
        <v>80</v>
      </c>
      <c r="B53" t="s">
        <v>27</v>
      </c>
      <c r="C53" s="50">
        <v>5.36</v>
      </c>
      <c r="D53" s="51">
        <v>2.37</v>
      </c>
      <c r="E53" s="51">
        <v>6</v>
      </c>
      <c r="F53" s="51">
        <v>1.65</v>
      </c>
      <c r="G53" s="51">
        <v>10.8</v>
      </c>
      <c r="H53" s="51">
        <v>163</v>
      </c>
      <c r="I53" s="51">
        <v>67.2</v>
      </c>
      <c r="J53" s="51">
        <f t="shared" si="2"/>
        <v>25.292634273025</v>
      </c>
      <c r="K53" s="51">
        <v>83</v>
      </c>
      <c r="L53" s="51">
        <v>120</v>
      </c>
      <c r="M53">
        <f t="shared" si="3"/>
        <v>2.5728</v>
      </c>
      <c r="N53">
        <v>2.22</v>
      </c>
      <c r="O53">
        <v>70</v>
      </c>
      <c r="Q53">
        <v>2.89</v>
      </c>
      <c r="R53">
        <v>17.21</v>
      </c>
      <c r="S53">
        <v>13.18</v>
      </c>
      <c r="T53">
        <v>1.44</v>
      </c>
      <c r="U53">
        <v>0.145</v>
      </c>
    </row>
    <row r="54" spans="1:21">
      <c r="G54" s="51"/>
    </row>
  </sheetData>
  <autoFilter xmlns:etc="http://www.wps.cn/officeDocument/2017/etCustomData" ref="A1:U53" etc:filterBottomFollowUsedRange="0">
    <extLst/>
  </autoFilter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61"/>
  <sheetViews>
    <sheetView topLeftCell="A28" workbookViewId="0">
      <pane xSplit="1" topLeftCell="I1" activePane="topRight" state="frozen"/>
      <selection/>
      <selection pane="topRight" activeCell="L58" sqref="L58"/>
    </sheetView>
  </sheetViews>
  <sheetFormatPr defaultColWidth="9" defaultRowHeight="13.85"/>
  <cols>
    <col min="1" max="1" width="15.3362831858407" style="30" customWidth="1"/>
    <col min="2" max="2" width="11.1592920353982" style="30" customWidth="1"/>
    <col min="3" max="3" width="11.4867256637168" style="31" customWidth="1"/>
    <col min="4" max="4" width="11.3362831858407" style="31" customWidth="1"/>
    <col min="5" max="5" width="8.66371681415929" style="31"/>
    <col min="6" max="6" width="11.2212389380531" style="31" customWidth="1"/>
    <col min="7" max="7" width="11.8230088495575" style="31" customWidth="1"/>
    <col min="8" max="8" width="13.4778761061947" style="31" customWidth="1"/>
    <col min="9" max="9" width="14.6017699115044" style="30" customWidth="1"/>
    <col min="10" max="10" width="23" style="30" customWidth="1"/>
    <col min="11" max="11" width="12.353982300885" style="32" customWidth="1"/>
    <col min="12" max="12" width="12.6017699115044" style="30"/>
    <col min="13" max="13" width="12.7964601769912" style="30"/>
    <col min="14" max="20" width="9" style="30"/>
    <col min="21" max="22" width="12.6017699115044" style="30"/>
    <col min="23" max="16384" width="9" style="30"/>
  </cols>
  <sheetData>
    <row r="1" ht="55.5" spans="1:22">
      <c r="A1" s="33" t="s">
        <v>81</v>
      </c>
      <c r="B1" s="33" t="s">
        <v>82</v>
      </c>
      <c r="C1" s="34" t="s">
        <v>83</v>
      </c>
      <c r="D1" s="34" t="s">
        <v>84</v>
      </c>
      <c r="E1" s="34" t="s">
        <v>85</v>
      </c>
      <c r="F1" s="34" t="s">
        <v>86</v>
      </c>
      <c r="G1" s="34" t="s">
        <v>87</v>
      </c>
      <c r="H1" s="34" t="s">
        <v>88</v>
      </c>
      <c r="I1" s="33" t="s">
        <v>89</v>
      </c>
      <c r="J1" s="33" t="s">
        <v>90</v>
      </c>
      <c r="K1" s="33" t="s">
        <v>91</v>
      </c>
      <c r="L1" s="35" t="s">
        <v>92</v>
      </c>
      <c r="M1" s="33" t="s">
        <v>12</v>
      </c>
      <c r="N1" s="36" t="s">
        <v>93</v>
      </c>
      <c r="O1" s="36" t="s">
        <v>16</v>
      </c>
      <c r="P1" s="36" t="s">
        <v>17</v>
      </c>
      <c r="Q1" s="36" t="s">
        <v>19</v>
      </c>
      <c r="R1" s="36" t="s">
        <v>94</v>
      </c>
      <c r="S1" s="36" t="s">
        <v>95</v>
      </c>
      <c r="T1" s="36" t="s">
        <v>96</v>
      </c>
      <c r="U1" s="36" t="s">
        <v>97</v>
      </c>
      <c r="V1" s="37" t="s">
        <v>20</v>
      </c>
    </row>
    <row r="2" spans="1:22">
      <c r="A2" s="38" t="s">
        <v>98</v>
      </c>
      <c r="B2" s="39" t="s">
        <v>99</v>
      </c>
      <c r="C2" s="40">
        <v>5.1</v>
      </c>
      <c r="D2" s="40">
        <v>10.1</v>
      </c>
      <c r="E2" s="40">
        <v>7.2</v>
      </c>
      <c r="F2" s="40">
        <v>5.1</v>
      </c>
      <c r="G2" s="40">
        <v>4.5</v>
      </c>
      <c r="H2" s="40">
        <v>4.3</v>
      </c>
      <c r="I2" s="38">
        <v>82624701494.9702</v>
      </c>
      <c r="J2" s="38">
        <v>639933.981502171</v>
      </c>
      <c r="K2" s="38">
        <f>J2/I2</f>
        <v>7.74506860446724e-6</v>
      </c>
      <c r="L2" s="41">
        <v>15.5</v>
      </c>
      <c r="M2" s="38">
        <f>(C2*L2)/22.5</f>
        <v>3.51333333333333</v>
      </c>
      <c r="N2" s="39">
        <v>1.35</v>
      </c>
      <c r="O2" s="39">
        <v>0.01</v>
      </c>
      <c r="P2" s="39">
        <v>12.31</v>
      </c>
      <c r="Q2" s="39">
        <v>0.01</v>
      </c>
      <c r="R2" s="39">
        <v>0.23</v>
      </c>
      <c r="S2" s="39">
        <v>0.01</v>
      </c>
      <c r="T2" s="39">
        <v>0.01</v>
      </c>
      <c r="U2" s="39">
        <v>5.04</v>
      </c>
      <c r="V2" s="30">
        <v>0.15</v>
      </c>
    </row>
    <row r="3" spans="1:22">
      <c r="A3" s="38"/>
      <c r="B3" s="39" t="s">
        <v>100</v>
      </c>
      <c r="C3" s="40">
        <v>4.9</v>
      </c>
      <c r="D3" s="40">
        <v>9.9</v>
      </c>
      <c r="E3" s="40">
        <v>5.6</v>
      </c>
      <c r="F3" s="40">
        <v>5.2</v>
      </c>
      <c r="G3" s="40">
        <v>4.7</v>
      </c>
      <c r="H3" s="40">
        <v>4.4</v>
      </c>
      <c r="I3" s="38">
        <v>24758311730.4709</v>
      </c>
      <c r="J3" s="38">
        <v>46824.1979265631</v>
      </c>
      <c r="K3" s="38">
        <f>J3/I3</f>
        <v>1.89125165060972e-6</v>
      </c>
      <c r="L3" s="41">
        <v>4.8</v>
      </c>
      <c r="M3" s="38">
        <f>(C3*L3)/22.5</f>
        <v>1.04533333333333</v>
      </c>
      <c r="N3" s="39">
        <v>0.01</v>
      </c>
      <c r="O3" s="39">
        <v>0.01</v>
      </c>
      <c r="P3" s="39">
        <v>19.33</v>
      </c>
      <c r="Q3" s="39">
        <v>0.01</v>
      </c>
      <c r="R3" s="39">
        <v>0.01</v>
      </c>
      <c r="S3" s="39">
        <v>0.01</v>
      </c>
      <c r="T3" s="39">
        <v>0.01</v>
      </c>
      <c r="U3" s="39">
        <v>0.01</v>
      </c>
      <c r="V3" s="30">
        <v>0.1</v>
      </c>
    </row>
    <row r="4" spans="1:22">
      <c r="A4" s="38"/>
      <c r="B4" s="39" t="s">
        <v>101</v>
      </c>
      <c r="C4" s="40">
        <v>4.8</v>
      </c>
      <c r="D4" s="40">
        <v>8.6</v>
      </c>
      <c r="E4" s="40">
        <v>9.4</v>
      </c>
      <c r="F4" s="40">
        <v>5.3</v>
      </c>
      <c r="G4" s="40">
        <v>4.8</v>
      </c>
      <c r="H4" s="40">
        <v>4.7</v>
      </c>
      <c r="I4" s="38">
        <v>6329102775.2729</v>
      </c>
      <c r="J4" s="38">
        <v>477.426584447704</v>
      </c>
      <c r="K4" s="38">
        <f>J4/I4</f>
        <v>7.54335332194251e-8</v>
      </c>
      <c r="L4" s="41">
        <v>4.7</v>
      </c>
      <c r="M4" s="38">
        <f>(C4*L4)/22.5</f>
        <v>1.00266666666667</v>
      </c>
      <c r="N4" s="39">
        <v>3.95</v>
      </c>
      <c r="O4" s="39">
        <v>0.01</v>
      </c>
      <c r="P4" s="39">
        <v>19.99</v>
      </c>
      <c r="Q4" s="39">
        <v>0.01</v>
      </c>
      <c r="R4" s="39">
        <v>8.04</v>
      </c>
      <c r="S4" s="39">
        <v>6.334</v>
      </c>
      <c r="T4" s="39">
        <v>12.6</v>
      </c>
      <c r="U4" s="39">
        <v>0.01</v>
      </c>
      <c r="V4" s="30">
        <v>0.3</v>
      </c>
    </row>
    <row r="5" spans="1:22">
      <c r="A5" s="38"/>
      <c r="B5" s="39" t="s">
        <v>102</v>
      </c>
      <c r="C5" s="40">
        <v>4.9</v>
      </c>
      <c r="D5" s="40">
        <v>15.4</v>
      </c>
      <c r="E5" s="40">
        <v>10.6</v>
      </c>
      <c r="F5" s="40">
        <v>5.4</v>
      </c>
      <c r="G5" s="40">
        <v>4.7</v>
      </c>
      <c r="H5" s="40">
        <v>4.6</v>
      </c>
      <c r="I5" s="38">
        <v>249839907519.032</v>
      </c>
      <c r="J5" s="38">
        <v>21184.7522959585</v>
      </c>
      <c r="K5" s="38">
        <f>J5/I5</f>
        <v>8.47933082681945e-8</v>
      </c>
      <c r="L5" s="41">
        <v>14.6</v>
      </c>
      <c r="M5" s="38">
        <f>(C5*L5)/22.5</f>
        <v>3.17955555555556</v>
      </c>
      <c r="N5" s="39">
        <v>1.03</v>
      </c>
      <c r="O5" s="39">
        <v>0.01</v>
      </c>
      <c r="P5" s="39">
        <v>15.38</v>
      </c>
      <c r="Q5" s="39">
        <v>0.01</v>
      </c>
      <c r="R5" s="39">
        <v>0.06</v>
      </c>
      <c r="S5" s="39">
        <v>13.401</v>
      </c>
      <c r="T5" s="39">
        <v>0.01</v>
      </c>
      <c r="U5" s="39">
        <v>0.01</v>
      </c>
      <c r="V5" s="30">
        <v>0.11</v>
      </c>
    </row>
    <row r="6" spans="1:22">
      <c r="A6" s="38"/>
      <c r="B6" s="39" t="s">
        <v>103</v>
      </c>
      <c r="C6" s="40">
        <v>4.7</v>
      </c>
      <c r="D6" s="40">
        <v>11.7</v>
      </c>
      <c r="E6" s="40">
        <v>7.7</v>
      </c>
      <c r="F6" s="40">
        <v>5.5</v>
      </c>
      <c r="G6" s="40">
        <v>5</v>
      </c>
      <c r="H6" s="40">
        <v>4.8</v>
      </c>
      <c r="I6" s="38">
        <v>35824448630.3536</v>
      </c>
      <c r="J6" s="38">
        <v>353263.931421224</v>
      </c>
      <c r="K6" s="38">
        <f>J6/I6</f>
        <v>9.86097329972325e-6</v>
      </c>
      <c r="L6" s="41">
        <v>4.4</v>
      </c>
      <c r="M6" s="38">
        <f>(C6*L6)/22.5</f>
        <v>0.919111111111111</v>
      </c>
      <c r="N6" s="39">
        <v>13.94</v>
      </c>
      <c r="O6" s="39">
        <v>0.01</v>
      </c>
      <c r="P6" s="39">
        <v>10.29</v>
      </c>
      <c r="Q6" s="39">
        <v>0.43</v>
      </c>
      <c r="R6" s="39">
        <v>38.23</v>
      </c>
      <c r="S6" s="39">
        <v>39.424</v>
      </c>
      <c r="T6" s="39">
        <v>30.58</v>
      </c>
      <c r="U6" s="39">
        <v>87.64</v>
      </c>
      <c r="V6" s="30">
        <v>0.21</v>
      </c>
    </row>
    <row r="7" spans="1:22">
      <c r="A7" s="38"/>
      <c r="B7" s="39" t="s">
        <v>104</v>
      </c>
      <c r="C7" s="40">
        <v>4.4</v>
      </c>
      <c r="D7" s="40">
        <v>7.5</v>
      </c>
      <c r="E7" s="40">
        <v>5.5</v>
      </c>
      <c r="F7" s="40">
        <v>5.4</v>
      </c>
      <c r="G7" s="40">
        <v>5.1</v>
      </c>
      <c r="H7" s="40">
        <v>4.9</v>
      </c>
      <c r="I7" s="38">
        <v>117506221593.693</v>
      </c>
      <c r="J7" s="38">
        <v>1103610.15563042</v>
      </c>
      <c r="K7" s="38">
        <f>J7/I7</f>
        <v>9.39192955626151e-6</v>
      </c>
      <c r="L7" s="41">
        <v>4.3</v>
      </c>
      <c r="M7" s="38">
        <f>(C7*L7)/22.5</f>
        <v>0.840888888888889</v>
      </c>
      <c r="N7" s="39">
        <v>1.93</v>
      </c>
      <c r="O7" s="39">
        <v>0.01</v>
      </c>
      <c r="P7" s="39">
        <v>7.47</v>
      </c>
      <c r="Q7" s="39">
        <v>0.01</v>
      </c>
      <c r="R7" s="39">
        <v>0.86</v>
      </c>
      <c r="S7" s="39">
        <v>13.641</v>
      </c>
      <c r="T7" s="39">
        <v>29.56</v>
      </c>
      <c r="U7" s="39">
        <v>11.62</v>
      </c>
      <c r="V7" s="30">
        <v>0.38</v>
      </c>
    </row>
    <row r="8" spans="1:22">
      <c r="A8" s="38"/>
      <c r="B8" s="39" t="s">
        <v>105</v>
      </c>
      <c r="C8" s="40">
        <v>4.5</v>
      </c>
      <c r="D8" s="40">
        <v>14.6</v>
      </c>
      <c r="E8" s="40">
        <v>13.7</v>
      </c>
      <c r="F8" s="40">
        <v>5.3</v>
      </c>
      <c r="G8" s="40">
        <v>5.1</v>
      </c>
      <c r="H8" s="40">
        <v>4.9</v>
      </c>
      <c r="I8" s="38">
        <v>3525371746.21523</v>
      </c>
      <c r="J8" s="38">
        <v>6022.28000662592</v>
      </c>
      <c r="K8" s="38">
        <f>J8/I8</f>
        <v>1.70826807501686e-6</v>
      </c>
      <c r="L8" s="41">
        <v>4.5</v>
      </c>
      <c r="M8" s="38">
        <f>(C8*L8)/22.5</f>
        <v>0.9</v>
      </c>
      <c r="N8" s="39">
        <v>0.62</v>
      </c>
      <c r="O8" s="39">
        <v>0.01</v>
      </c>
      <c r="P8" s="39">
        <v>18.71</v>
      </c>
      <c r="Q8" s="39">
        <v>0.01</v>
      </c>
      <c r="R8" s="39">
        <v>0.02</v>
      </c>
      <c r="S8" s="39">
        <v>0.01</v>
      </c>
      <c r="T8" s="39">
        <v>0.01</v>
      </c>
      <c r="U8" s="39">
        <v>0.01</v>
      </c>
      <c r="V8" s="30">
        <v>0.12</v>
      </c>
    </row>
    <row r="9" spans="1:22">
      <c r="A9" s="38"/>
      <c r="B9" s="39" t="s">
        <v>106</v>
      </c>
      <c r="C9" s="40">
        <v>4.3</v>
      </c>
      <c r="D9" s="40">
        <v>10.3</v>
      </c>
      <c r="E9" s="40">
        <v>5.7</v>
      </c>
      <c r="F9" s="40">
        <v>5.6</v>
      </c>
      <c r="G9" s="40">
        <v>5</v>
      </c>
      <c r="H9" s="40">
        <v>4.6</v>
      </c>
      <c r="I9" s="38">
        <v>52220778346.8956</v>
      </c>
      <c r="J9" s="38">
        <v>209807.435630267</v>
      </c>
      <c r="K9" s="38">
        <f>J9/I9</f>
        <v>4.01770027701511e-6</v>
      </c>
      <c r="L9" s="41">
        <v>4.4</v>
      </c>
      <c r="M9" s="38">
        <f>(C9*L9)/22.5</f>
        <v>0.840888888888889</v>
      </c>
      <c r="N9" s="39">
        <v>6.05</v>
      </c>
      <c r="O9" s="39">
        <v>0.01</v>
      </c>
      <c r="P9" s="39">
        <v>26.1</v>
      </c>
      <c r="Q9" s="39">
        <v>0.86</v>
      </c>
      <c r="R9" s="39">
        <v>16.56</v>
      </c>
      <c r="S9" s="39">
        <v>51.176</v>
      </c>
      <c r="T9" s="39">
        <v>52.29</v>
      </c>
      <c r="U9" s="39">
        <v>164.69</v>
      </c>
      <c r="V9" s="30">
        <v>0.03</v>
      </c>
    </row>
    <row r="10" spans="1:22">
      <c r="A10" s="38"/>
      <c r="B10" s="39" t="s">
        <v>107</v>
      </c>
      <c r="C10" s="40">
        <v>4.1</v>
      </c>
      <c r="D10" s="40">
        <v>8.7</v>
      </c>
      <c r="E10" s="40">
        <v>5.4</v>
      </c>
      <c r="F10" s="40">
        <v>5.2</v>
      </c>
      <c r="G10" s="40">
        <v>5.2</v>
      </c>
      <c r="H10" s="40">
        <v>4.9</v>
      </c>
      <c r="I10" s="38">
        <v>2413479685.05479</v>
      </c>
      <c r="J10" s="38">
        <v>1838.4422687975</v>
      </c>
      <c r="K10" s="38">
        <f>J10/I10</f>
        <v>7.6173927635764e-7</v>
      </c>
      <c r="L10" s="41">
        <v>3.6</v>
      </c>
      <c r="M10" s="38">
        <f>(C10*L10)/22.5</f>
        <v>0.656</v>
      </c>
      <c r="N10" s="39">
        <v>6.05</v>
      </c>
      <c r="O10" s="39">
        <v>0.01</v>
      </c>
      <c r="P10" s="39">
        <v>16.55</v>
      </c>
      <c r="Q10" s="39">
        <v>0.01</v>
      </c>
      <c r="R10" s="39">
        <v>19.93</v>
      </c>
      <c r="S10" s="39">
        <v>0.01</v>
      </c>
      <c r="T10" s="39">
        <v>1.76</v>
      </c>
      <c r="U10" s="39">
        <v>13.58</v>
      </c>
      <c r="V10" s="30">
        <v>0.13</v>
      </c>
    </row>
    <row r="11" spans="1:22">
      <c r="A11" s="38" t="s">
        <v>108</v>
      </c>
      <c r="B11" s="39" t="s">
        <v>109</v>
      </c>
      <c r="C11" s="40">
        <v>4.2</v>
      </c>
      <c r="D11" s="40">
        <v>10.1</v>
      </c>
      <c r="E11" s="40">
        <v>6.9</v>
      </c>
      <c r="F11" s="40">
        <v>5.2</v>
      </c>
      <c r="G11" s="40">
        <v>5.1</v>
      </c>
      <c r="H11" s="40">
        <v>4.6</v>
      </c>
      <c r="I11" s="38">
        <v>49004109382.6129</v>
      </c>
      <c r="J11" s="38">
        <v>138390.872334049</v>
      </c>
      <c r="K11" s="38">
        <f>J11/I11</f>
        <v>2.82406667680714e-6</v>
      </c>
      <c r="L11" s="41">
        <v>4.6</v>
      </c>
      <c r="M11" s="38">
        <f>(C11*L11)/22.5</f>
        <v>0.858666666666667</v>
      </c>
      <c r="N11" s="39">
        <v>0.73</v>
      </c>
      <c r="O11" s="39">
        <v>0.01</v>
      </c>
      <c r="P11" s="39">
        <v>15.58</v>
      </c>
      <c r="Q11" s="39">
        <v>0.01</v>
      </c>
      <c r="R11" s="39">
        <v>0.01</v>
      </c>
      <c r="S11" s="39">
        <v>0.01</v>
      </c>
      <c r="T11" s="39">
        <v>0.01</v>
      </c>
      <c r="U11" s="39">
        <v>0.01</v>
      </c>
      <c r="V11" s="30">
        <v>0.18</v>
      </c>
    </row>
    <row r="12" spans="1:22">
      <c r="A12" s="38"/>
      <c r="B12" s="39" t="s">
        <v>110</v>
      </c>
      <c r="C12" s="40">
        <v>4.1</v>
      </c>
      <c r="D12" s="40">
        <v>8</v>
      </c>
      <c r="E12" s="40">
        <v>5.8</v>
      </c>
      <c r="F12" s="40">
        <v>5.6</v>
      </c>
      <c r="G12" s="40">
        <v>5.4</v>
      </c>
      <c r="H12" s="40">
        <v>4.2</v>
      </c>
      <c r="I12" s="38">
        <v>15324774629.1947</v>
      </c>
      <c r="J12" s="38">
        <v>20708.93914955</v>
      </c>
      <c r="K12" s="38">
        <f>J12/I12</f>
        <v>1.35133727252981e-6</v>
      </c>
      <c r="L12" s="41">
        <v>4.5</v>
      </c>
      <c r="M12" s="38">
        <f>(C12*L12)/22.5</f>
        <v>0.82</v>
      </c>
      <c r="N12" s="39">
        <v>6.47</v>
      </c>
      <c r="O12" s="39">
        <v>0.01</v>
      </c>
      <c r="P12" s="39">
        <v>24.4</v>
      </c>
      <c r="Q12" s="39">
        <v>0.01</v>
      </c>
      <c r="R12" s="39">
        <v>1.62</v>
      </c>
      <c r="S12" s="39">
        <v>15.633</v>
      </c>
      <c r="T12" s="39">
        <v>3.1</v>
      </c>
      <c r="U12" s="39">
        <v>0.57</v>
      </c>
      <c r="V12" s="30">
        <v>0.28</v>
      </c>
    </row>
    <row r="13" spans="1:22">
      <c r="A13" s="38"/>
      <c r="B13" s="39" t="s">
        <v>111</v>
      </c>
      <c r="C13" s="40">
        <v>4</v>
      </c>
      <c r="D13" s="40">
        <v>14.6</v>
      </c>
      <c r="E13" s="40">
        <v>13.7</v>
      </c>
      <c r="F13" s="40">
        <v>5.3</v>
      </c>
      <c r="G13" s="40">
        <v>5.1</v>
      </c>
      <c r="H13" s="40">
        <v>4.4</v>
      </c>
      <c r="I13" s="38">
        <v>61912266953.7208</v>
      </c>
      <c r="J13" s="38">
        <v>28854.451114009</v>
      </c>
      <c r="K13" s="38">
        <f>J13/I13</f>
        <v>4.66053861920088e-7</v>
      </c>
      <c r="L13" s="41">
        <v>4.4</v>
      </c>
      <c r="M13" s="38">
        <f>(C13*L13)/22.5</f>
        <v>0.782222222222222</v>
      </c>
      <c r="N13" s="39">
        <v>27.54</v>
      </c>
      <c r="O13" s="39">
        <v>44.52</v>
      </c>
      <c r="P13" s="39">
        <v>12.4</v>
      </c>
      <c r="Q13" s="39">
        <v>2.47</v>
      </c>
      <c r="R13" s="39">
        <v>75.13</v>
      </c>
      <c r="S13" s="39">
        <v>61.575</v>
      </c>
      <c r="T13" s="39">
        <v>57.99</v>
      </c>
      <c r="U13" s="39">
        <v>63.06</v>
      </c>
      <c r="V13" s="30">
        <v>0.05</v>
      </c>
    </row>
    <row r="14" spans="1:22">
      <c r="A14" s="38"/>
      <c r="B14" s="39" t="s">
        <v>112</v>
      </c>
      <c r="C14" s="40">
        <v>4.3</v>
      </c>
      <c r="D14" s="40">
        <v>16.4</v>
      </c>
      <c r="E14" s="40">
        <v>15.6</v>
      </c>
      <c r="F14" s="40">
        <v>5.5</v>
      </c>
      <c r="G14" s="40">
        <v>5.3</v>
      </c>
      <c r="H14" s="40">
        <v>4.6</v>
      </c>
      <c r="I14" s="38">
        <v>11015724250.6173</v>
      </c>
      <c r="J14" s="38">
        <v>71031.9076118293</v>
      </c>
      <c r="K14" s="38">
        <f>J14/I14</f>
        <v>6.44822855000649e-6</v>
      </c>
      <c r="L14" s="41">
        <v>4.6</v>
      </c>
      <c r="M14" s="38">
        <f>(C14*L14)/22.5</f>
        <v>0.879111111111111</v>
      </c>
      <c r="N14" s="39">
        <v>0.96</v>
      </c>
      <c r="O14" s="39">
        <v>0.01</v>
      </c>
      <c r="P14" s="39">
        <v>21.7</v>
      </c>
      <c r="Q14" s="39">
        <v>0.01</v>
      </c>
      <c r="R14" s="39">
        <v>1.86</v>
      </c>
      <c r="S14" s="39">
        <v>11.584</v>
      </c>
      <c r="T14" s="39">
        <v>3.85</v>
      </c>
      <c r="U14" s="39">
        <v>96.34</v>
      </c>
      <c r="V14" s="30">
        <v>0.1</v>
      </c>
    </row>
    <row r="15" spans="1:22">
      <c r="A15" s="38"/>
      <c r="B15" s="39" t="s">
        <v>113</v>
      </c>
      <c r="C15" s="40">
        <v>4.4</v>
      </c>
      <c r="D15" s="40">
        <v>7.4</v>
      </c>
      <c r="E15" s="40">
        <v>5.8</v>
      </c>
      <c r="F15" s="40">
        <v>5.5</v>
      </c>
      <c r="G15" s="40">
        <v>5.4</v>
      </c>
      <c r="H15" s="40">
        <v>4.7</v>
      </c>
      <c r="I15" s="38">
        <v>48727440506.5436</v>
      </c>
      <c r="J15" s="38">
        <v>18188.8006415147</v>
      </c>
      <c r="K15" s="38">
        <f>J15/I15</f>
        <v>3.73276339828933e-7</v>
      </c>
      <c r="L15" s="41">
        <v>4.5</v>
      </c>
      <c r="M15" s="38">
        <f>(C15*L15)/22.5</f>
        <v>0.88</v>
      </c>
      <c r="N15" s="39">
        <v>40.73</v>
      </c>
      <c r="O15" s="39">
        <v>0.01</v>
      </c>
      <c r="P15" s="39">
        <v>7.21</v>
      </c>
      <c r="Q15" s="39">
        <v>0.45</v>
      </c>
      <c r="R15" s="39">
        <v>29.81</v>
      </c>
      <c r="S15" s="39">
        <v>44.872</v>
      </c>
      <c r="T15" s="39">
        <v>41.84</v>
      </c>
      <c r="U15" s="39">
        <v>128.16</v>
      </c>
      <c r="V15" s="30">
        <v>0.18</v>
      </c>
    </row>
    <row r="16" spans="1:22">
      <c r="A16" s="38"/>
      <c r="B16" s="39" t="s">
        <v>114</v>
      </c>
      <c r="C16" s="40">
        <v>4.9</v>
      </c>
      <c r="D16" s="40">
        <v>12.5</v>
      </c>
      <c r="E16" s="40">
        <v>10.9</v>
      </c>
      <c r="F16" s="40">
        <v>5.7</v>
      </c>
      <c r="G16" s="40">
        <v>5.6</v>
      </c>
      <c r="H16" s="40">
        <v>4.5</v>
      </c>
      <c r="I16" s="38">
        <v>91581843296.0073</v>
      </c>
      <c r="J16" s="38">
        <v>218648.503212995</v>
      </c>
      <c r="K16" s="38">
        <f>J16/I16</f>
        <v>2.3874656301281e-6</v>
      </c>
      <c r="L16" s="41">
        <v>14.7</v>
      </c>
      <c r="M16" s="38">
        <f>(C16*L16)/22.5</f>
        <v>3.20133333333333</v>
      </c>
      <c r="N16" s="39">
        <v>7.67</v>
      </c>
      <c r="O16" s="39">
        <v>25.22</v>
      </c>
      <c r="P16" s="39">
        <v>18.68</v>
      </c>
      <c r="Q16" s="39">
        <v>2.84</v>
      </c>
      <c r="R16" s="39">
        <v>71.87</v>
      </c>
      <c r="S16" s="39">
        <v>108.232</v>
      </c>
      <c r="T16" s="39">
        <v>122.58</v>
      </c>
      <c r="U16" s="39">
        <v>271.41</v>
      </c>
      <c r="V16" s="30">
        <v>0.54</v>
      </c>
    </row>
    <row r="17" spans="1:22">
      <c r="A17" s="38"/>
      <c r="B17" s="39" t="s">
        <v>115</v>
      </c>
      <c r="C17" s="40">
        <v>4.8</v>
      </c>
      <c r="D17" s="40">
        <v>9.2</v>
      </c>
      <c r="E17" s="40">
        <v>5.9</v>
      </c>
      <c r="F17" s="40">
        <v>5.4</v>
      </c>
      <c r="G17" s="40">
        <v>5.1</v>
      </c>
      <c r="H17" s="40">
        <v>4.3</v>
      </c>
      <c r="I17" s="38">
        <v>67929715742.3951</v>
      </c>
      <c r="J17" s="38">
        <v>175402.860173544</v>
      </c>
      <c r="K17" s="38">
        <f>J17/I17</f>
        <v>2.58212268749528e-6</v>
      </c>
      <c r="L17" s="41">
        <v>4.6</v>
      </c>
      <c r="M17" s="38">
        <f>(C17*L17)/22.5</f>
        <v>0.981333333333333</v>
      </c>
      <c r="N17" s="39">
        <v>17.44</v>
      </c>
      <c r="O17" s="39">
        <v>0.01</v>
      </c>
      <c r="P17" s="39">
        <v>29.21</v>
      </c>
      <c r="Q17" s="39">
        <v>0.97</v>
      </c>
      <c r="R17" s="39">
        <v>38.57</v>
      </c>
      <c r="S17" s="39">
        <v>80.962</v>
      </c>
      <c r="T17" s="39">
        <v>74.2</v>
      </c>
      <c r="U17" s="39">
        <v>251.17</v>
      </c>
      <c r="V17" s="30">
        <v>0.09</v>
      </c>
    </row>
    <row r="18" spans="1:22">
      <c r="A18" s="38"/>
      <c r="B18" s="39" t="s">
        <v>116</v>
      </c>
      <c r="C18" s="40">
        <v>4.7</v>
      </c>
      <c r="D18" s="40">
        <v>16.3</v>
      </c>
      <c r="E18" s="40">
        <v>9.8</v>
      </c>
      <c r="F18" s="40">
        <v>5.4</v>
      </c>
      <c r="G18" s="40">
        <v>5.2</v>
      </c>
      <c r="H18" s="40">
        <v>4.3</v>
      </c>
      <c r="I18" s="38">
        <v>47111958080.8421</v>
      </c>
      <c r="J18" s="38">
        <v>411017.740784718</v>
      </c>
      <c r="K18" s="38">
        <f>J18/I18</f>
        <v>8.72427633085063e-6</v>
      </c>
      <c r="L18" s="41">
        <v>4.5</v>
      </c>
      <c r="M18" s="38">
        <f>(C18*L18)/22.5</f>
        <v>0.94</v>
      </c>
      <c r="N18" s="39">
        <v>25.51</v>
      </c>
      <c r="O18" s="39">
        <v>0.01</v>
      </c>
      <c r="P18" s="39">
        <v>19.63</v>
      </c>
      <c r="Q18" s="39">
        <v>0.72</v>
      </c>
      <c r="R18" s="39">
        <v>36.03</v>
      </c>
      <c r="S18" s="39">
        <v>10.002</v>
      </c>
      <c r="T18" s="39">
        <v>22.63</v>
      </c>
      <c r="U18" s="39">
        <v>171.25</v>
      </c>
      <c r="V18" s="30">
        <v>0.24</v>
      </c>
    </row>
    <row r="19" spans="1:22">
      <c r="A19" s="38"/>
      <c r="B19" s="39" t="s">
        <v>117</v>
      </c>
      <c r="C19" s="40">
        <v>4.6</v>
      </c>
      <c r="D19" s="40">
        <v>7.5</v>
      </c>
      <c r="E19" s="40">
        <v>6.5</v>
      </c>
      <c r="F19" s="40">
        <v>5.4</v>
      </c>
      <c r="G19" s="40">
        <v>5.4</v>
      </c>
      <c r="H19" s="40">
        <v>4.6</v>
      </c>
      <c r="I19" s="38">
        <v>30213315368.6927</v>
      </c>
      <c r="J19" s="38">
        <v>337792.337019879</v>
      </c>
      <c r="K19" s="38">
        <f t="shared" ref="K19:K36" si="0">J19/I19</f>
        <v>1.11802472816307e-5</v>
      </c>
      <c r="L19" s="41">
        <v>4.4</v>
      </c>
      <c r="M19" s="38">
        <f>(C19*L19)/22.5</f>
        <v>0.899555555555555</v>
      </c>
      <c r="N19" s="39">
        <v>9.37</v>
      </c>
      <c r="O19" s="39">
        <v>0.01</v>
      </c>
      <c r="P19" s="39">
        <v>28.86</v>
      </c>
      <c r="Q19" s="39">
        <v>0.13</v>
      </c>
      <c r="R19" s="39">
        <v>18.9</v>
      </c>
      <c r="S19" s="39">
        <v>61.328</v>
      </c>
      <c r="T19" s="39">
        <v>67.91</v>
      </c>
      <c r="U19" s="39">
        <v>12.73</v>
      </c>
      <c r="V19" s="30">
        <v>0.05</v>
      </c>
    </row>
    <row r="20" spans="1:22">
      <c r="A20" s="38" t="s">
        <v>118</v>
      </c>
      <c r="B20" s="39" t="s">
        <v>119</v>
      </c>
      <c r="C20" s="42">
        <v>4.9</v>
      </c>
      <c r="D20" s="40">
        <v>15.7</v>
      </c>
      <c r="E20" s="40">
        <v>14.6</v>
      </c>
      <c r="F20" s="40">
        <v>5.4</v>
      </c>
      <c r="G20" s="40">
        <v>5.1</v>
      </c>
      <c r="H20" s="40">
        <v>4.8</v>
      </c>
      <c r="I20" s="38">
        <v>14759303718.5385</v>
      </c>
      <c r="J20" s="38">
        <v>3072509.79375649</v>
      </c>
      <c r="K20" s="38">
        <f t="shared" si="0"/>
        <v>0.000208174440498656</v>
      </c>
      <c r="L20" s="41">
        <v>14.5</v>
      </c>
      <c r="M20" s="38">
        <f>(C20*L20)/22.5</f>
        <v>3.15777777777778</v>
      </c>
      <c r="N20" s="39">
        <v>58.22</v>
      </c>
      <c r="O20" s="39">
        <v>37.63</v>
      </c>
      <c r="P20" s="39">
        <v>28.62</v>
      </c>
      <c r="Q20" s="39">
        <v>11.2</v>
      </c>
      <c r="R20" s="39">
        <v>52.88</v>
      </c>
      <c r="S20" s="39">
        <v>85.783</v>
      </c>
      <c r="T20" s="39">
        <v>292.09</v>
      </c>
      <c r="U20" s="39">
        <v>255.04</v>
      </c>
      <c r="V20" s="30">
        <v>0.75</v>
      </c>
    </row>
    <row r="21" spans="1:22">
      <c r="A21" s="38"/>
      <c r="B21" s="39" t="s">
        <v>120</v>
      </c>
      <c r="C21" s="40">
        <v>4.8</v>
      </c>
      <c r="D21" s="40">
        <v>10.9</v>
      </c>
      <c r="E21" s="40">
        <v>8.7</v>
      </c>
      <c r="F21" s="40">
        <v>5.6</v>
      </c>
      <c r="G21" s="40">
        <v>5.3</v>
      </c>
      <c r="H21" s="40">
        <v>4.9</v>
      </c>
      <c r="I21" s="38">
        <v>36679519371.2217</v>
      </c>
      <c r="J21" s="38">
        <v>953461.971415768</v>
      </c>
      <c r="K21" s="38">
        <f t="shared" si="0"/>
        <v>2.59943965395534e-5</v>
      </c>
      <c r="L21" s="41">
        <v>6.2</v>
      </c>
      <c r="M21" s="38">
        <f>(C21*L21)/22.5</f>
        <v>1.32266666666667</v>
      </c>
      <c r="N21" s="39">
        <v>13.94</v>
      </c>
      <c r="O21" s="39">
        <v>0.01</v>
      </c>
      <c r="P21" s="39">
        <v>23.86</v>
      </c>
      <c r="Q21" s="39">
        <v>5.99</v>
      </c>
      <c r="R21" s="39">
        <v>66.15</v>
      </c>
      <c r="S21" s="39">
        <v>92.003</v>
      </c>
      <c r="T21" s="39">
        <v>141.26</v>
      </c>
      <c r="U21" s="39">
        <v>422.52</v>
      </c>
      <c r="V21" s="30">
        <v>0.32</v>
      </c>
    </row>
    <row r="22" spans="1:22">
      <c r="A22" s="38"/>
      <c r="B22" s="39" t="s">
        <v>121</v>
      </c>
      <c r="C22" s="40">
        <v>5.1</v>
      </c>
      <c r="D22" s="40">
        <v>16.5</v>
      </c>
      <c r="E22" s="40">
        <v>15.5</v>
      </c>
      <c r="F22" s="40">
        <v>5.4</v>
      </c>
      <c r="G22" s="40">
        <v>5.3</v>
      </c>
      <c r="H22" s="40">
        <v>4.4</v>
      </c>
      <c r="I22" s="38">
        <v>44763902924.5767</v>
      </c>
      <c r="J22" s="38">
        <v>265903.999393348</v>
      </c>
      <c r="K22" s="38">
        <f t="shared" si="0"/>
        <v>5.94014333024922e-6</v>
      </c>
      <c r="L22" s="41">
        <v>4.6</v>
      </c>
      <c r="M22" s="38">
        <f>(C22*L22)/22.5</f>
        <v>1.04266666666667</v>
      </c>
      <c r="N22" s="39">
        <v>18.94</v>
      </c>
      <c r="O22" s="39">
        <v>0.01</v>
      </c>
      <c r="P22" s="39">
        <v>43.86</v>
      </c>
      <c r="Q22" s="39">
        <v>5.99</v>
      </c>
      <c r="R22" s="39">
        <v>69.05</v>
      </c>
      <c r="S22" s="39">
        <v>194.223</v>
      </c>
      <c r="T22" s="39">
        <v>131.27</v>
      </c>
      <c r="U22" s="39">
        <v>280.01</v>
      </c>
      <c r="V22" s="30">
        <v>0.74</v>
      </c>
    </row>
    <row r="23" spans="1:22">
      <c r="A23" s="38"/>
      <c r="B23" s="39" t="s">
        <v>122</v>
      </c>
      <c r="C23" s="40">
        <v>5.3</v>
      </c>
      <c r="D23" s="40">
        <v>16.8</v>
      </c>
      <c r="E23" s="40">
        <v>12.6</v>
      </c>
      <c r="F23" s="40">
        <v>5.4</v>
      </c>
      <c r="G23" s="40">
        <v>5.2</v>
      </c>
      <c r="H23" s="40">
        <v>4.6</v>
      </c>
      <c r="I23" s="38">
        <v>104159187316.08</v>
      </c>
      <c r="J23" s="38">
        <v>3198875.77507996</v>
      </c>
      <c r="K23" s="38">
        <f t="shared" si="0"/>
        <v>3.07114125744155e-5</v>
      </c>
      <c r="L23" s="41">
        <v>8.7</v>
      </c>
      <c r="M23" s="38">
        <f>(C23*L23)/22.5</f>
        <v>2.04933333333333</v>
      </c>
      <c r="N23" s="39">
        <v>17.33</v>
      </c>
      <c r="O23" s="39">
        <v>0.01</v>
      </c>
      <c r="P23" s="39">
        <v>16.75</v>
      </c>
      <c r="Q23" s="39">
        <v>12.11</v>
      </c>
      <c r="R23" s="39">
        <v>9.46</v>
      </c>
      <c r="S23" s="39">
        <v>47.738</v>
      </c>
      <c r="T23" s="39">
        <v>153.43</v>
      </c>
      <c r="U23" s="39">
        <v>137.82</v>
      </c>
      <c r="V23" s="30">
        <v>0.19</v>
      </c>
    </row>
    <row r="24" spans="1:22">
      <c r="A24" s="38"/>
      <c r="B24" s="39" t="s">
        <v>123</v>
      </c>
      <c r="C24" s="40">
        <v>5.6</v>
      </c>
      <c r="D24" s="40">
        <v>14.5</v>
      </c>
      <c r="E24" s="40">
        <v>10.7</v>
      </c>
      <c r="F24" s="40">
        <v>5.5</v>
      </c>
      <c r="G24" s="40">
        <v>5.1</v>
      </c>
      <c r="H24" s="40">
        <v>4.5</v>
      </c>
      <c r="I24" s="38">
        <v>38139539904.8041</v>
      </c>
      <c r="J24" s="38">
        <v>145690.658397361</v>
      </c>
      <c r="K24" s="38">
        <f t="shared" si="0"/>
        <v>3.81993749166884e-6</v>
      </c>
      <c r="L24" s="41">
        <v>25.5</v>
      </c>
      <c r="M24" s="38">
        <f>(C24*L24)/22.5</f>
        <v>6.34666666666667</v>
      </c>
      <c r="N24" s="39">
        <v>20.49</v>
      </c>
      <c r="O24" s="39">
        <v>327.92</v>
      </c>
      <c r="P24" s="39">
        <v>30.03</v>
      </c>
      <c r="Q24" s="39">
        <v>8.51</v>
      </c>
      <c r="R24" s="39">
        <v>71.91</v>
      </c>
      <c r="S24" s="39">
        <v>70.586</v>
      </c>
      <c r="T24" s="39">
        <v>174.08</v>
      </c>
      <c r="U24" s="39">
        <v>152.53</v>
      </c>
      <c r="V24" s="30">
        <v>0.33</v>
      </c>
    </row>
    <row r="25" spans="1:22">
      <c r="A25" s="38"/>
      <c r="B25" s="39" t="s">
        <v>124</v>
      </c>
      <c r="C25" s="40">
        <v>5.5</v>
      </c>
      <c r="D25" s="40">
        <v>21.6</v>
      </c>
      <c r="E25" s="40">
        <v>15.7</v>
      </c>
      <c r="F25" s="40">
        <v>5.6</v>
      </c>
      <c r="G25" s="40">
        <v>5</v>
      </c>
      <c r="H25" s="40">
        <v>4.7</v>
      </c>
      <c r="I25" s="38">
        <v>31834237924.7369</v>
      </c>
      <c r="J25" s="38">
        <v>226052.521016623</v>
      </c>
      <c r="K25" s="38">
        <f t="shared" si="0"/>
        <v>7.10092453135082e-6</v>
      </c>
      <c r="L25" s="41">
        <v>11.6</v>
      </c>
      <c r="M25" s="38">
        <f>(C25*L25)/22.5</f>
        <v>2.83555555555556</v>
      </c>
      <c r="N25" s="39">
        <v>7.42</v>
      </c>
      <c r="O25" s="39">
        <v>3.91</v>
      </c>
      <c r="P25" s="39">
        <v>35.38</v>
      </c>
      <c r="Q25" s="39">
        <v>0.23</v>
      </c>
      <c r="R25" s="39">
        <v>27.83</v>
      </c>
      <c r="S25" s="39">
        <v>10.33</v>
      </c>
      <c r="T25" s="39">
        <v>20.32</v>
      </c>
      <c r="U25" s="39">
        <v>98.26</v>
      </c>
      <c r="V25" s="30">
        <v>0.51</v>
      </c>
    </row>
    <row r="26" spans="1:22">
      <c r="A26" s="38"/>
      <c r="B26" s="39" t="s">
        <v>125</v>
      </c>
      <c r="C26" s="40">
        <v>5.7</v>
      </c>
      <c r="D26" s="40">
        <v>16.4</v>
      </c>
      <c r="E26" s="40">
        <v>11.8</v>
      </c>
      <c r="F26" s="40">
        <v>5.7</v>
      </c>
      <c r="G26" s="40">
        <v>5.4</v>
      </c>
      <c r="H26" s="40">
        <v>4.8</v>
      </c>
      <c r="I26" s="38">
        <v>250007551581.517</v>
      </c>
      <c r="J26" s="38">
        <v>47754964.7990281</v>
      </c>
      <c r="K26" s="38">
        <f t="shared" si="0"/>
        <v>0.000191014089362246</v>
      </c>
      <c r="L26" s="41">
        <v>14.4</v>
      </c>
      <c r="M26" s="38">
        <f>(C26*L26)/22.5</f>
        <v>3.648</v>
      </c>
      <c r="N26" s="39">
        <v>17.45</v>
      </c>
      <c r="O26" s="39">
        <v>0.01</v>
      </c>
      <c r="P26" s="39">
        <v>38.24</v>
      </c>
      <c r="Q26" s="39">
        <v>2.1</v>
      </c>
      <c r="R26" s="39">
        <v>38.43</v>
      </c>
      <c r="S26" s="39">
        <v>54.999</v>
      </c>
      <c r="T26" s="39">
        <v>70.57</v>
      </c>
      <c r="U26" s="39">
        <v>181.03</v>
      </c>
      <c r="V26" s="30">
        <v>0.79</v>
      </c>
    </row>
    <row r="27" spans="1:22">
      <c r="A27" s="38"/>
      <c r="B27" s="39" t="s">
        <v>126</v>
      </c>
      <c r="C27" s="40">
        <v>5.6</v>
      </c>
      <c r="D27" s="40">
        <v>21.3</v>
      </c>
      <c r="E27" s="40">
        <v>16.8</v>
      </c>
      <c r="F27" s="40">
        <v>5.5</v>
      </c>
      <c r="G27" s="40">
        <v>5.3</v>
      </c>
      <c r="H27" s="40">
        <v>4.8</v>
      </c>
      <c r="I27" s="38">
        <v>19071148920.0955</v>
      </c>
      <c r="J27" s="38">
        <v>87877.9686285438</v>
      </c>
      <c r="K27" s="38">
        <f t="shared" si="0"/>
        <v>4.60790112838696e-6</v>
      </c>
      <c r="L27" s="41">
        <v>24.7</v>
      </c>
      <c r="M27" s="38">
        <f>(C27*L27)/22.5</f>
        <v>6.14755555555555</v>
      </c>
      <c r="N27" s="39">
        <v>18.86</v>
      </c>
      <c r="O27" s="39">
        <v>0.01</v>
      </c>
      <c r="P27" s="39">
        <v>24.85</v>
      </c>
      <c r="Q27" s="39">
        <v>1.76</v>
      </c>
      <c r="R27" s="39">
        <v>31.37</v>
      </c>
      <c r="S27" s="39">
        <v>49.342</v>
      </c>
      <c r="T27" s="39">
        <v>112.52</v>
      </c>
      <c r="U27" s="39">
        <v>162.19</v>
      </c>
      <c r="V27" s="30">
        <v>0.16</v>
      </c>
    </row>
    <row r="28" spans="1:22">
      <c r="A28" s="38"/>
      <c r="B28" s="39" t="s">
        <v>127</v>
      </c>
      <c r="C28" s="40">
        <v>5.3</v>
      </c>
      <c r="D28" s="40">
        <v>16.6</v>
      </c>
      <c r="E28" s="40">
        <v>9.8</v>
      </c>
      <c r="F28" s="40">
        <v>5.7</v>
      </c>
      <c r="G28" s="40">
        <v>5.4</v>
      </c>
      <c r="H28" s="40">
        <v>4.9</v>
      </c>
      <c r="I28" s="38">
        <v>18285438630.8899</v>
      </c>
      <c r="J28" s="38">
        <v>84319.5922736878</v>
      </c>
      <c r="K28" s="38">
        <f>J28/I28</f>
        <v>4.61129721718818e-6</v>
      </c>
      <c r="L28" s="41">
        <v>4.6</v>
      </c>
      <c r="M28" s="38">
        <f t="shared" ref="M28:M58" si="1">(C28*L28)/22.5</f>
        <v>1.08355555555556</v>
      </c>
      <c r="N28" s="39">
        <v>9.96</v>
      </c>
      <c r="O28" s="39">
        <v>31.81</v>
      </c>
      <c r="P28" s="39">
        <v>39.98</v>
      </c>
      <c r="Q28" s="39">
        <v>0.01</v>
      </c>
      <c r="R28" s="39">
        <v>503.82</v>
      </c>
      <c r="S28" s="39">
        <v>104.781</v>
      </c>
      <c r="T28" s="39">
        <v>42.3</v>
      </c>
      <c r="U28" s="39">
        <v>194.47</v>
      </c>
      <c r="V28" s="30">
        <v>0.66</v>
      </c>
    </row>
    <row r="29" spans="1:22">
      <c r="A29" s="38" t="s">
        <v>128</v>
      </c>
      <c r="B29" s="39" t="s">
        <v>129</v>
      </c>
      <c r="C29" s="40">
        <v>4.8</v>
      </c>
      <c r="D29" s="40">
        <v>11</v>
      </c>
      <c r="E29" s="40">
        <v>9.3</v>
      </c>
      <c r="F29" s="40">
        <v>5.2</v>
      </c>
      <c r="G29" s="40">
        <v>4.9</v>
      </c>
      <c r="H29" s="40">
        <v>4.3</v>
      </c>
      <c r="I29" s="38">
        <v>59801748271.1174</v>
      </c>
      <c r="J29" s="38">
        <v>114493.77523987</v>
      </c>
      <c r="K29" s="38">
        <f>J29/I29</f>
        <v>1.91455565347021e-6</v>
      </c>
      <c r="L29" s="41">
        <v>14.5</v>
      </c>
      <c r="M29" s="38">
        <f t="shared" si="1"/>
        <v>3.09333333333333</v>
      </c>
      <c r="N29" s="39">
        <v>0.01</v>
      </c>
      <c r="O29" s="39">
        <v>0.01</v>
      </c>
      <c r="P29" s="39">
        <v>20.52</v>
      </c>
      <c r="Q29" s="39">
        <v>0.01</v>
      </c>
      <c r="R29" s="39">
        <v>0.17</v>
      </c>
      <c r="S29" s="39">
        <v>0.01</v>
      </c>
      <c r="T29" s="39">
        <v>14.3</v>
      </c>
      <c r="U29" s="39">
        <v>48.78</v>
      </c>
      <c r="V29" s="30">
        <v>0.09</v>
      </c>
    </row>
    <row r="30" spans="1:22">
      <c r="A30" s="38"/>
      <c r="B30" s="39" t="s">
        <v>130</v>
      </c>
      <c r="C30" s="40">
        <v>4.9</v>
      </c>
      <c r="D30" s="40">
        <v>6.4</v>
      </c>
      <c r="E30" s="40">
        <v>5.6</v>
      </c>
      <c r="F30" s="40">
        <v>5.1</v>
      </c>
      <c r="G30" s="40">
        <v>4.8</v>
      </c>
      <c r="H30" s="40">
        <v>4.2</v>
      </c>
      <c r="I30" s="38">
        <v>4515709395.48982</v>
      </c>
      <c r="J30" s="38">
        <v>18983.7254598199</v>
      </c>
      <c r="K30" s="38">
        <f>J30/I30</f>
        <v>4.20392983631329e-6</v>
      </c>
      <c r="L30" s="41">
        <v>4.6</v>
      </c>
      <c r="M30" s="38">
        <f t="shared" si="1"/>
        <v>1.00177777777778</v>
      </c>
      <c r="N30" s="39">
        <v>8.07</v>
      </c>
      <c r="O30" s="39">
        <v>0.01</v>
      </c>
      <c r="P30" s="39">
        <v>38.13</v>
      </c>
      <c r="Q30" s="39">
        <v>0.01</v>
      </c>
      <c r="R30" s="39">
        <v>19.42</v>
      </c>
      <c r="S30" s="39">
        <v>10.007</v>
      </c>
      <c r="T30" s="39">
        <v>44.37</v>
      </c>
      <c r="U30" s="39">
        <v>80.06</v>
      </c>
      <c r="V30" s="30">
        <v>0.41</v>
      </c>
    </row>
    <row r="31" spans="1:22">
      <c r="A31" s="38"/>
      <c r="B31" s="39" t="s">
        <v>131</v>
      </c>
      <c r="C31" s="40">
        <v>4.7</v>
      </c>
      <c r="D31" s="40">
        <v>9.6</v>
      </c>
      <c r="E31" s="40">
        <v>5.5</v>
      </c>
      <c r="F31" s="40">
        <v>5.2</v>
      </c>
      <c r="G31" s="40">
        <v>4.7</v>
      </c>
      <c r="H31" s="40">
        <v>4.1</v>
      </c>
      <c r="I31" s="38">
        <v>15810080906.0786</v>
      </c>
      <c r="J31" s="38">
        <v>16608.2793819468</v>
      </c>
      <c r="K31" s="38">
        <f>J31/I31</f>
        <v>1.05048667875958e-6</v>
      </c>
      <c r="L31" s="41">
        <v>4.7</v>
      </c>
      <c r="M31" s="38">
        <f t="shared" si="1"/>
        <v>0.981777777777778</v>
      </c>
      <c r="N31" s="39">
        <v>0.27</v>
      </c>
      <c r="O31" s="39">
        <v>0.01</v>
      </c>
      <c r="P31" s="39">
        <v>25.42</v>
      </c>
      <c r="Q31" s="39">
        <v>0.01</v>
      </c>
      <c r="R31" s="39">
        <v>0.01</v>
      </c>
      <c r="S31" s="39">
        <v>0.01</v>
      </c>
      <c r="T31" s="39">
        <v>0.01</v>
      </c>
      <c r="U31" s="39">
        <v>0.01</v>
      </c>
      <c r="V31" s="30">
        <v>0.11</v>
      </c>
    </row>
    <row r="32" spans="1:22">
      <c r="A32" s="38"/>
      <c r="B32" s="39" t="s">
        <v>132</v>
      </c>
      <c r="C32" s="40">
        <v>4.6</v>
      </c>
      <c r="D32" s="40">
        <v>15.4</v>
      </c>
      <c r="E32" s="40">
        <v>15.2</v>
      </c>
      <c r="F32" s="40">
        <v>5</v>
      </c>
      <c r="G32" s="40">
        <v>4.6</v>
      </c>
      <c r="H32" s="40">
        <v>4</v>
      </c>
      <c r="I32" s="38">
        <v>2527479891.68839</v>
      </c>
      <c r="J32" s="38">
        <v>1217.62102667888</v>
      </c>
      <c r="K32" s="38">
        <f>J32/I32</f>
        <v>4.81753002539416e-7</v>
      </c>
      <c r="L32" s="41">
        <v>2.6</v>
      </c>
      <c r="M32" s="38">
        <f t="shared" si="1"/>
        <v>0.531555555555556</v>
      </c>
      <c r="N32" s="39">
        <v>7.49</v>
      </c>
      <c r="O32" s="39">
        <v>0.01</v>
      </c>
      <c r="P32" s="39">
        <v>10.18</v>
      </c>
      <c r="Q32" s="39">
        <v>0.01</v>
      </c>
      <c r="R32" s="39">
        <v>3.53</v>
      </c>
      <c r="S32" s="39">
        <v>0.01</v>
      </c>
      <c r="T32" s="39">
        <v>0.01</v>
      </c>
      <c r="U32" s="39">
        <v>0.01</v>
      </c>
      <c r="V32" s="30">
        <v>0.04</v>
      </c>
    </row>
    <row r="33" spans="1:22">
      <c r="A33" s="38"/>
      <c r="B33" s="39" t="s">
        <v>133</v>
      </c>
      <c r="C33" s="40">
        <v>4.1</v>
      </c>
      <c r="D33" s="40">
        <v>9.7</v>
      </c>
      <c r="E33" s="40">
        <v>5.1</v>
      </c>
      <c r="F33" s="40">
        <v>5</v>
      </c>
      <c r="G33" s="40">
        <v>4.5</v>
      </c>
      <c r="H33" s="40">
        <v>4.4</v>
      </c>
      <c r="I33" s="38">
        <v>8080282891.45765</v>
      </c>
      <c r="J33" s="38">
        <v>22492.0675393642</v>
      </c>
      <c r="K33" s="38">
        <f>J33/I33</f>
        <v>2.78357426856211e-6</v>
      </c>
      <c r="L33" s="41">
        <v>3.5</v>
      </c>
      <c r="M33" s="38">
        <f t="shared" si="1"/>
        <v>0.637777777777778</v>
      </c>
      <c r="N33" s="39">
        <v>3.29</v>
      </c>
      <c r="O33" s="39">
        <v>0.01</v>
      </c>
      <c r="P33" s="39">
        <v>25.84</v>
      </c>
      <c r="Q33" s="39">
        <v>0.01</v>
      </c>
      <c r="R33" s="39">
        <v>9.82</v>
      </c>
      <c r="S33" s="39">
        <v>11.795</v>
      </c>
      <c r="T33" s="39">
        <v>0.84</v>
      </c>
      <c r="U33" s="39">
        <v>6.83</v>
      </c>
      <c r="V33" s="30">
        <v>0.23</v>
      </c>
    </row>
    <row r="34" spans="1:22">
      <c r="A34" s="38"/>
      <c r="B34" s="39" t="s">
        <v>134</v>
      </c>
      <c r="C34" s="40">
        <v>4.2</v>
      </c>
      <c r="D34" s="40">
        <v>11.7</v>
      </c>
      <c r="E34" s="40">
        <v>8.3</v>
      </c>
      <c r="F34" s="40">
        <v>5.2</v>
      </c>
      <c r="G34" s="40">
        <v>4.9</v>
      </c>
      <c r="H34" s="40">
        <v>4.7</v>
      </c>
      <c r="I34" s="38">
        <v>5569380744.14823</v>
      </c>
      <c r="J34" s="38">
        <v>3749.9081257863</v>
      </c>
      <c r="K34" s="38">
        <f>J34/I34</f>
        <v>6.73307913043356e-7</v>
      </c>
      <c r="L34" s="41">
        <v>4.4</v>
      </c>
      <c r="M34" s="38">
        <f t="shared" si="1"/>
        <v>0.821333333333333</v>
      </c>
      <c r="N34" s="39">
        <v>0.01</v>
      </c>
      <c r="O34" s="39">
        <v>0.01</v>
      </c>
      <c r="P34" s="39">
        <v>2.65</v>
      </c>
      <c r="Q34" s="39">
        <v>0.63</v>
      </c>
      <c r="R34" s="39">
        <v>78.86</v>
      </c>
      <c r="S34" s="39">
        <v>72.967</v>
      </c>
      <c r="T34" s="39">
        <v>46.66</v>
      </c>
      <c r="U34" s="39">
        <v>185.69</v>
      </c>
      <c r="V34" s="30">
        <v>0.12</v>
      </c>
    </row>
    <row r="35" spans="1:22">
      <c r="A35" s="38"/>
      <c r="B35" s="39" t="s">
        <v>135</v>
      </c>
      <c r="C35" s="40">
        <v>4.3</v>
      </c>
      <c r="D35" s="40">
        <v>7.9</v>
      </c>
      <c r="E35" s="40">
        <v>5.2</v>
      </c>
      <c r="F35" s="40">
        <v>5.1</v>
      </c>
      <c r="G35" s="40">
        <v>4.9</v>
      </c>
      <c r="H35" s="40">
        <v>4.3</v>
      </c>
      <c r="I35" s="38">
        <v>10746424233.0748</v>
      </c>
      <c r="J35" s="38">
        <v>17591.2722990163</v>
      </c>
      <c r="K35" s="38">
        <f>J35/I35</f>
        <v>1.6369419183057e-6</v>
      </c>
      <c r="L35" s="41">
        <v>4.6</v>
      </c>
      <c r="M35" s="38">
        <f t="shared" si="1"/>
        <v>0.879111111111111</v>
      </c>
      <c r="N35" s="39">
        <v>26.97</v>
      </c>
      <c r="O35" s="39">
        <v>0.01</v>
      </c>
      <c r="P35" s="39">
        <v>15.2</v>
      </c>
      <c r="Q35" s="39">
        <v>3.09</v>
      </c>
      <c r="R35" s="39">
        <v>39.59</v>
      </c>
      <c r="S35" s="39">
        <v>86.085</v>
      </c>
      <c r="T35" s="39">
        <v>60.67</v>
      </c>
      <c r="U35" s="39">
        <v>153.56</v>
      </c>
      <c r="V35" s="30">
        <v>0.19</v>
      </c>
    </row>
    <row r="36" spans="1:22">
      <c r="A36" s="38"/>
      <c r="B36" s="39" t="s">
        <v>136</v>
      </c>
      <c r="C36" s="40">
        <v>4.4</v>
      </c>
      <c r="D36" s="40">
        <v>10.8</v>
      </c>
      <c r="E36" s="40">
        <v>7.5</v>
      </c>
      <c r="F36" s="40">
        <v>5.3</v>
      </c>
      <c r="G36" s="40">
        <v>4.9</v>
      </c>
      <c r="H36" s="40">
        <v>4.8</v>
      </c>
      <c r="I36" s="38">
        <v>4865099049.26952</v>
      </c>
      <c r="J36" s="38">
        <v>1269.29662097856</v>
      </c>
      <c r="K36" s="38">
        <f>J36/I36</f>
        <v>2.60898412986914e-7</v>
      </c>
      <c r="L36" s="41">
        <v>4.5</v>
      </c>
      <c r="M36" s="38">
        <f t="shared" si="1"/>
        <v>0.88</v>
      </c>
      <c r="N36" s="39">
        <v>11.25</v>
      </c>
      <c r="O36" s="39">
        <v>0.01</v>
      </c>
      <c r="P36" s="39">
        <v>10.01</v>
      </c>
      <c r="Q36" s="39">
        <v>0.3</v>
      </c>
      <c r="R36" s="39">
        <v>43.06</v>
      </c>
      <c r="S36" s="39">
        <v>29.604</v>
      </c>
      <c r="T36" s="39">
        <v>49.54</v>
      </c>
      <c r="U36" s="39">
        <v>238.57</v>
      </c>
      <c r="V36" s="30">
        <v>0.58</v>
      </c>
    </row>
    <row r="37" spans="1:22">
      <c r="A37" s="38"/>
      <c r="B37" s="39" t="s">
        <v>137</v>
      </c>
      <c r="C37" s="40">
        <v>4.9</v>
      </c>
      <c r="D37" s="40">
        <v>10.1</v>
      </c>
      <c r="E37" s="40">
        <v>7.1</v>
      </c>
      <c r="F37" s="40">
        <v>5.2</v>
      </c>
      <c r="G37" s="40">
        <v>4.6</v>
      </c>
      <c r="H37" s="40">
        <v>4.3</v>
      </c>
      <c r="I37" s="38">
        <v>12373868102.418</v>
      </c>
      <c r="J37" s="38">
        <v>24565.1533660217</v>
      </c>
      <c r="K37" s="38">
        <f>J37/I37</f>
        <v>1.98524448157172e-6</v>
      </c>
      <c r="L37" s="41">
        <v>4.6</v>
      </c>
      <c r="M37" s="38">
        <f>(C37*L37)/22.5</f>
        <v>1.00177777777778</v>
      </c>
      <c r="N37" s="39">
        <v>3.48</v>
      </c>
      <c r="O37" s="39">
        <v>0.01</v>
      </c>
      <c r="P37" s="39">
        <v>9.17</v>
      </c>
      <c r="Q37" s="39">
        <v>0.01</v>
      </c>
      <c r="R37" s="39">
        <v>15.48</v>
      </c>
      <c r="S37" s="39">
        <v>26.017</v>
      </c>
      <c r="T37" s="39">
        <v>57.38</v>
      </c>
      <c r="U37" s="39">
        <v>29.62</v>
      </c>
      <c r="V37" s="30">
        <v>0.27</v>
      </c>
    </row>
    <row r="38" spans="1:22">
      <c r="A38" s="38" t="s">
        <v>138</v>
      </c>
      <c r="B38" s="39" t="s">
        <v>139</v>
      </c>
      <c r="C38" s="40">
        <v>3.5</v>
      </c>
      <c r="D38" s="40">
        <v>7.5</v>
      </c>
      <c r="E38" s="40">
        <v>6.7</v>
      </c>
      <c r="F38" s="40">
        <v>4.4</v>
      </c>
      <c r="G38" s="40">
        <v>4.1</v>
      </c>
      <c r="H38" s="40">
        <v>3.3</v>
      </c>
      <c r="I38" s="38">
        <v>39772748328.1143</v>
      </c>
      <c r="J38" s="38">
        <v>24453.17263326</v>
      </c>
      <c r="K38" s="38">
        <f>J38/I38</f>
        <v>6.14822300725311e-7</v>
      </c>
      <c r="L38" s="41">
        <v>4.6</v>
      </c>
      <c r="M38" s="38">
        <f>(C38*L38)/22.5</f>
        <v>0.715555555555556</v>
      </c>
      <c r="N38" s="39">
        <v>0.01</v>
      </c>
      <c r="O38" s="39">
        <v>0.01</v>
      </c>
      <c r="P38" s="39">
        <v>11.22</v>
      </c>
      <c r="Q38" s="39">
        <v>0.88</v>
      </c>
      <c r="R38" s="39">
        <v>1.11</v>
      </c>
      <c r="S38" s="39">
        <v>1.19</v>
      </c>
      <c r="T38" s="39">
        <v>1.03</v>
      </c>
      <c r="U38" s="39">
        <v>209.33</v>
      </c>
      <c r="V38" s="30">
        <v>0.39</v>
      </c>
    </row>
    <row r="39" spans="1:22">
      <c r="A39" s="37"/>
      <c r="B39" s="39" t="s">
        <v>140</v>
      </c>
      <c r="C39" s="40">
        <v>5.1</v>
      </c>
      <c r="D39" s="40">
        <v>16</v>
      </c>
      <c r="E39" s="40">
        <v>15.1</v>
      </c>
      <c r="F39" s="40">
        <v>4.2</v>
      </c>
      <c r="G39" s="40">
        <v>4.3</v>
      </c>
      <c r="H39" s="40">
        <v>3.2</v>
      </c>
      <c r="I39" s="38">
        <v>4615702221.35282</v>
      </c>
      <c r="J39" s="38">
        <v>2148743.54121567</v>
      </c>
      <c r="K39" s="38">
        <f>J39/I39</f>
        <v>0.000465529065387995</v>
      </c>
      <c r="L39" s="41">
        <v>11.6</v>
      </c>
      <c r="M39" s="38">
        <f>(C39*L39)/22.5</f>
        <v>2.62933333333333</v>
      </c>
      <c r="N39" s="39">
        <v>7.09</v>
      </c>
      <c r="O39" s="39">
        <v>0.01</v>
      </c>
      <c r="P39" s="39">
        <v>23.34</v>
      </c>
      <c r="Q39" s="39">
        <v>0.01</v>
      </c>
      <c r="R39" s="39">
        <v>17.55</v>
      </c>
      <c r="S39" s="39">
        <v>11.01</v>
      </c>
      <c r="T39" s="39">
        <v>17.38</v>
      </c>
      <c r="U39" s="39">
        <v>1.25</v>
      </c>
      <c r="V39" s="30">
        <v>0.28</v>
      </c>
    </row>
    <row r="40" spans="1:22">
      <c r="A40" s="37"/>
      <c r="B40" s="39" t="s">
        <v>141</v>
      </c>
      <c r="C40" s="40">
        <v>4.1</v>
      </c>
      <c r="D40" s="40">
        <v>9.8</v>
      </c>
      <c r="E40" s="40">
        <v>5.5</v>
      </c>
      <c r="F40" s="40">
        <v>5.2</v>
      </c>
      <c r="G40" s="40">
        <v>4.7</v>
      </c>
      <c r="H40" s="40">
        <v>4.1</v>
      </c>
      <c r="I40" s="38">
        <v>22990180123.0456</v>
      </c>
      <c r="J40" s="38">
        <v>17421.32128144</v>
      </c>
      <c r="K40" s="38">
        <f>J40/I40</f>
        <v>7.57772283131296e-7</v>
      </c>
      <c r="L40" s="41">
        <v>3.7</v>
      </c>
      <c r="M40" s="38">
        <f>(C40*L40)/22.5</f>
        <v>0.674222222222222</v>
      </c>
      <c r="N40" s="39">
        <v>0.88</v>
      </c>
      <c r="O40" s="39">
        <v>2.01</v>
      </c>
      <c r="P40" s="39">
        <v>2.31</v>
      </c>
      <c r="Q40" s="39">
        <v>0.06</v>
      </c>
      <c r="R40" s="39">
        <v>6.5</v>
      </c>
      <c r="S40" s="39">
        <v>0.11</v>
      </c>
      <c r="T40" s="39">
        <v>2.11</v>
      </c>
      <c r="U40" s="39">
        <v>20.33</v>
      </c>
      <c r="V40" s="30">
        <v>0.11</v>
      </c>
    </row>
    <row r="41" spans="1:22">
      <c r="A41" s="37"/>
      <c r="B41" s="39" t="s">
        <v>142</v>
      </c>
      <c r="C41" s="40">
        <v>5.2</v>
      </c>
      <c r="D41" s="40">
        <v>10</v>
      </c>
      <c r="E41" s="40">
        <v>6.7</v>
      </c>
      <c r="F41" s="40">
        <v>3.9</v>
      </c>
      <c r="G41" s="40">
        <v>3.8</v>
      </c>
      <c r="H41" s="40">
        <v>3.5</v>
      </c>
      <c r="I41" s="38">
        <v>2637432765.45612</v>
      </c>
      <c r="J41" s="38">
        <v>3172036.66455676</v>
      </c>
      <c r="K41" s="38">
        <f>J41/I41</f>
        <v>0.0012026985886058</v>
      </c>
      <c r="L41" s="41">
        <v>4.6</v>
      </c>
      <c r="M41" s="38">
        <f>(C41*L41)/22.5</f>
        <v>1.06311111111111</v>
      </c>
      <c r="N41" s="39">
        <v>1.44</v>
      </c>
      <c r="O41" s="39">
        <v>0.01</v>
      </c>
      <c r="P41" s="39">
        <v>17.99</v>
      </c>
      <c r="Q41" s="39">
        <v>0.01</v>
      </c>
      <c r="R41" s="39">
        <v>0.01</v>
      </c>
      <c r="S41" s="39">
        <v>1.24</v>
      </c>
      <c r="T41" s="39">
        <v>0.01</v>
      </c>
      <c r="U41" s="39">
        <v>5.45</v>
      </c>
      <c r="V41" s="30">
        <v>0.37</v>
      </c>
    </row>
    <row r="42" spans="1:22">
      <c r="B42" s="39" t="s">
        <v>143</v>
      </c>
      <c r="C42" s="40">
        <v>4.1</v>
      </c>
      <c r="D42" s="40">
        <v>10.4</v>
      </c>
      <c r="E42" s="40">
        <v>6.1</v>
      </c>
      <c r="F42" s="40">
        <v>5.8</v>
      </c>
      <c r="G42" s="40">
        <v>4.5</v>
      </c>
      <c r="H42" s="40">
        <v>4.4</v>
      </c>
      <c r="I42" s="38">
        <v>10013284333.2532</v>
      </c>
      <c r="J42" s="38">
        <v>1324336.0456742</v>
      </c>
      <c r="K42" s="38">
        <f>J42/I42</f>
        <v>0.000132257908753894</v>
      </c>
      <c r="L42" s="41">
        <v>10.2</v>
      </c>
      <c r="M42" s="38">
        <f>(C42*L42)/22.5</f>
        <v>1.85866666666667</v>
      </c>
      <c r="N42" s="39">
        <v>3.22</v>
      </c>
      <c r="O42" s="39">
        <v>0.01</v>
      </c>
      <c r="P42" s="39">
        <v>12.3</v>
      </c>
      <c r="Q42" s="39">
        <v>0.01</v>
      </c>
      <c r="R42" s="39">
        <v>1.23</v>
      </c>
      <c r="S42" s="39">
        <v>0.56</v>
      </c>
      <c r="T42" s="39">
        <v>0.95</v>
      </c>
      <c r="U42" s="39">
        <v>11.22</v>
      </c>
      <c r="V42" s="30">
        <v>0.21</v>
      </c>
    </row>
    <row r="43" spans="1:22">
      <c r="A43" s="37"/>
      <c r="B43" s="39" t="s">
        <v>144</v>
      </c>
      <c r="C43" s="40">
        <v>4.2</v>
      </c>
      <c r="D43" s="40">
        <v>14.9</v>
      </c>
      <c r="E43" s="40">
        <v>5.3</v>
      </c>
      <c r="F43" s="40">
        <v>3.6</v>
      </c>
      <c r="G43" s="40">
        <v>4.5</v>
      </c>
      <c r="H43" s="40">
        <v>3.2</v>
      </c>
      <c r="I43" s="38">
        <v>5069412258.11276</v>
      </c>
      <c r="J43" s="38">
        <v>1223789.41413876</v>
      </c>
      <c r="K43" s="38">
        <f>J43/I43</f>
        <v>0.000241406567828506</v>
      </c>
      <c r="L43" s="41">
        <v>4.4</v>
      </c>
      <c r="M43" s="38">
        <f>(C43*L43)/22.5</f>
        <v>0.821333333333333</v>
      </c>
      <c r="N43" s="39">
        <v>0.01</v>
      </c>
      <c r="O43" s="39">
        <v>0.88</v>
      </c>
      <c r="P43" s="39">
        <v>2.65</v>
      </c>
      <c r="Q43" s="39">
        <v>0.68</v>
      </c>
      <c r="R43" s="39">
        <v>8.98</v>
      </c>
      <c r="S43" s="39">
        <v>1.02</v>
      </c>
      <c r="T43" s="39">
        <v>4.94</v>
      </c>
      <c r="U43" s="39">
        <v>77.45</v>
      </c>
      <c r="V43" s="30">
        <v>0.11</v>
      </c>
    </row>
    <row r="44" spans="1:22">
      <c r="A44" s="37"/>
      <c r="B44" s="39" t="s">
        <v>145</v>
      </c>
      <c r="C44" s="40">
        <v>5.9</v>
      </c>
      <c r="D44" s="40">
        <v>17.9</v>
      </c>
      <c r="E44" s="40">
        <v>11.6</v>
      </c>
      <c r="F44" s="40">
        <v>4.5</v>
      </c>
      <c r="G44" s="40">
        <v>3.9</v>
      </c>
      <c r="H44" s="40">
        <v>3.3</v>
      </c>
      <c r="I44" s="38">
        <v>5946796241.1456</v>
      </c>
      <c r="J44" s="38">
        <v>15520551.3920551</v>
      </c>
      <c r="K44" s="38">
        <f>J44/I44</f>
        <v>0.00260990132546818</v>
      </c>
      <c r="L44" s="41">
        <v>17.6</v>
      </c>
      <c r="M44" s="38">
        <f>(C44*L44)/22.5</f>
        <v>4.61511111111111</v>
      </c>
      <c r="N44" s="39">
        <v>11.1</v>
      </c>
      <c r="O44" s="39">
        <v>0.01</v>
      </c>
      <c r="P44" s="39">
        <v>12.34</v>
      </c>
      <c r="Q44" s="39">
        <v>0.01</v>
      </c>
      <c r="R44" s="39">
        <v>17.9</v>
      </c>
      <c r="S44" s="39">
        <v>4.29</v>
      </c>
      <c r="T44" s="39">
        <v>26.65</v>
      </c>
      <c r="U44" s="39">
        <v>52.14</v>
      </c>
      <c r="V44" s="30">
        <v>0.1</v>
      </c>
    </row>
    <row r="45" spans="1:22">
      <c r="A45" s="37"/>
      <c r="B45" s="39" t="s">
        <v>146</v>
      </c>
      <c r="C45" s="40">
        <v>3.4</v>
      </c>
      <c r="D45" s="40">
        <v>8.9</v>
      </c>
      <c r="E45" s="40">
        <v>6.7</v>
      </c>
      <c r="F45" s="40">
        <v>4.6</v>
      </c>
      <c r="G45" s="40">
        <v>3.8</v>
      </c>
      <c r="H45" s="40">
        <v>3.8</v>
      </c>
      <c r="I45" s="38">
        <v>26495766642.5543</v>
      </c>
      <c r="J45" s="38">
        <v>2380.11552897733</v>
      </c>
      <c r="K45" s="38">
        <f>J45/I45</f>
        <v>8.9830030626654e-8</v>
      </c>
      <c r="L45" s="41">
        <v>4.5</v>
      </c>
      <c r="M45" s="38">
        <f>(C45*L45)/22.5</f>
        <v>0.68</v>
      </c>
      <c r="N45" s="39">
        <v>7.88</v>
      </c>
      <c r="O45" s="39">
        <v>0.01</v>
      </c>
      <c r="P45" s="39">
        <v>11.24</v>
      </c>
      <c r="Q45" s="39">
        <v>0.01</v>
      </c>
      <c r="R45" s="39">
        <v>2.65</v>
      </c>
      <c r="S45" s="39">
        <v>7.97</v>
      </c>
      <c r="T45" s="39">
        <v>19.37</v>
      </c>
      <c r="U45" s="39">
        <v>277.3</v>
      </c>
      <c r="V45" s="30">
        <v>0.48</v>
      </c>
    </row>
    <row r="46" spans="1:22">
      <c r="A46" s="37"/>
      <c r="B46" s="39" t="s">
        <v>147</v>
      </c>
      <c r="C46" s="40">
        <v>3.8</v>
      </c>
      <c r="D46" s="40">
        <v>7.1</v>
      </c>
      <c r="E46" s="40">
        <v>6.1</v>
      </c>
      <c r="F46" s="40">
        <v>5.2</v>
      </c>
      <c r="G46" s="40">
        <v>3.2</v>
      </c>
      <c r="H46" s="40">
        <v>3</v>
      </c>
      <c r="I46" s="38">
        <v>44478968555.115</v>
      </c>
      <c r="J46" s="38">
        <v>1240015.0313897</v>
      </c>
      <c r="K46" s="38">
        <f t="shared" ref="K46:K56" si="2">J46/I46</f>
        <v>2.78786822552588e-5</v>
      </c>
      <c r="L46" s="41">
        <v>6.4</v>
      </c>
      <c r="M46" s="38">
        <f>(C46*L46)/22.5</f>
        <v>1.08088888888889</v>
      </c>
      <c r="N46" s="39">
        <v>5.28</v>
      </c>
      <c r="O46" s="39">
        <v>0.01</v>
      </c>
      <c r="P46" s="39">
        <v>33.12</v>
      </c>
      <c r="Q46" s="39">
        <v>1.23</v>
      </c>
      <c r="R46" s="39">
        <v>13.66</v>
      </c>
      <c r="S46" s="39">
        <v>23.01</v>
      </c>
      <c r="T46" s="39">
        <v>32.18</v>
      </c>
      <c r="U46" s="39">
        <v>33.55</v>
      </c>
      <c r="V46" s="30">
        <v>0.06</v>
      </c>
    </row>
    <row r="47" spans="1:22">
      <c r="A47" s="38" t="s">
        <v>148</v>
      </c>
      <c r="B47" s="39" t="s">
        <v>149</v>
      </c>
      <c r="C47" s="40">
        <v>4.1</v>
      </c>
      <c r="D47" s="40">
        <v>11.5</v>
      </c>
      <c r="E47" s="40">
        <v>11.8</v>
      </c>
      <c r="F47" s="40">
        <v>4.3</v>
      </c>
      <c r="G47" s="40">
        <v>4.1</v>
      </c>
      <c r="H47" s="40">
        <v>3.1</v>
      </c>
      <c r="I47" s="38">
        <v>41122748200.1006</v>
      </c>
      <c r="J47" s="38">
        <v>15593.4526365</v>
      </c>
      <c r="K47" s="38">
        <f t="shared" si="2"/>
        <v>3.79192863293652e-7</v>
      </c>
      <c r="L47" s="41">
        <v>4.6</v>
      </c>
      <c r="M47" s="38">
        <f>(C47*L47)/22.5</f>
        <v>0.838222222222222</v>
      </c>
      <c r="N47" s="39">
        <v>0.01</v>
      </c>
      <c r="O47" s="39">
        <v>0.01</v>
      </c>
      <c r="P47" s="39">
        <v>21.11</v>
      </c>
      <c r="Q47" s="39">
        <v>1.01</v>
      </c>
      <c r="R47" s="39">
        <v>1.25</v>
      </c>
      <c r="S47" s="39">
        <v>2.29</v>
      </c>
      <c r="T47" s="39">
        <v>1.03</v>
      </c>
      <c r="U47" s="39">
        <v>199.9</v>
      </c>
      <c r="V47" s="30">
        <v>0.23</v>
      </c>
    </row>
    <row r="48" spans="1:22">
      <c r="A48" s="37"/>
      <c r="B48" s="39" t="s">
        <v>150</v>
      </c>
      <c r="C48" s="40">
        <v>3.7</v>
      </c>
      <c r="D48" s="40">
        <v>9.8</v>
      </c>
      <c r="E48" s="40">
        <v>6.5</v>
      </c>
      <c r="F48" s="40">
        <v>4.6</v>
      </c>
      <c r="G48" s="40">
        <v>3.9</v>
      </c>
      <c r="H48" s="40">
        <v>2.9</v>
      </c>
      <c r="I48" s="38">
        <v>4515709395.48982</v>
      </c>
      <c r="J48" s="38">
        <v>68743.7412195849</v>
      </c>
      <c r="K48" s="38">
        <f t="shared" si="2"/>
        <v>1.52232429500987e-5</v>
      </c>
      <c r="L48" s="41">
        <v>11.6</v>
      </c>
      <c r="M48" s="38">
        <f>(C48*L48)/22.5</f>
        <v>1.90755555555556</v>
      </c>
      <c r="N48" s="39">
        <v>9.11</v>
      </c>
      <c r="O48" s="39">
        <v>0.01</v>
      </c>
      <c r="P48" s="39">
        <v>5.43</v>
      </c>
      <c r="Q48" s="39">
        <v>0.01</v>
      </c>
      <c r="R48" s="39">
        <v>7.55</v>
      </c>
      <c r="S48" s="39">
        <v>4.45</v>
      </c>
      <c r="T48" s="39">
        <v>29.47</v>
      </c>
      <c r="U48" s="39">
        <v>1.25</v>
      </c>
      <c r="V48" s="30">
        <v>0.03</v>
      </c>
    </row>
    <row r="49" spans="1:22">
      <c r="A49" s="37"/>
      <c r="B49" s="39" t="s">
        <v>151</v>
      </c>
      <c r="C49" s="40">
        <v>3.9</v>
      </c>
      <c r="D49" s="40">
        <v>10.01</v>
      </c>
      <c r="E49" s="40">
        <v>6.1</v>
      </c>
      <c r="F49" s="40">
        <v>4.9</v>
      </c>
      <c r="G49" s="40">
        <v>4.7</v>
      </c>
      <c r="H49" s="40">
        <v>3.6</v>
      </c>
      <c r="I49" s="38">
        <v>25810180777.0742</v>
      </c>
      <c r="J49" s="38">
        <v>16401.1742813364</v>
      </c>
      <c r="K49" s="38">
        <f t="shared" si="2"/>
        <v>6.35453677097244e-7</v>
      </c>
      <c r="L49" s="41">
        <v>3.7</v>
      </c>
      <c r="M49" s="38">
        <f>(C49*L49)/22.5</f>
        <v>0.641333333333333</v>
      </c>
      <c r="N49" s="39">
        <v>0.01</v>
      </c>
      <c r="O49" s="39">
        <v>0.01</v>
      </c>
      <c r="P49" s="39">
        <v>11.77</v>
      </c>
      <c r="Q49" s="39">
        <v>0.08</v>
      </c>
      <c r="R49" s="39">
        <v>16.5</v>
      </c>
      <c r="S49" s="39">
        <v>0.23</v>
      </c>
      <c r="T49" s="39">
        <v>0.01</v>
      </c>
      <c r="U49" s="39">
        <v>19.32</v>
      </c>
      <c r="V49" s="30">
        <v>0.08</v>
      </c>
    </row>
    <row r="50" spans="1:22">
      <c r="A50" s="37"/>
      <c r="B50" s="39" t="s">
        <v>152</v>
      </c>
      <c r="C50" s="40">
        <v>5.6</v>
      </c>
      <c r="D50" s="40">
        <v>11.2</v>
      </c>
      <c r="E50" s="40">
        <v>7.2</v>
      </c>
      <c r="F50" s="40">
        <v>5.4</v>
      </c>
      <c r="G50" s="40">
        <v>4.1</v>
      </c>
      <c r="H50" s="40">
        <v>3.5</v>
      </c>
      <c r="I50" s="38">
        <v>2727412890.68412</v>
      </c>
      <c r="J50" s="38">
        <v>771046.521447176</v>
      </c>
      <c r="K50" s="38">
        <f t="shared" si="2"/>
        <v>0.000282702528861984</v>
      </c>
      <c r="L50" s="41">
        <v>4.6</v>
      </c>
      <c r="M50" s="38">
        <f>(C50*L50)/22.5</f>
        <v>1.14488888888889</v>
      </c>
      <c r="N50" s="39">
        <v>6.55</v>
      </c>
      <c r="O50" s="39">
        <v>0.01</v>
      </c>
      <c r="P50" s="39">
        <v>11.28</v>
      </c>
      <c r="Q50" s="39">
        <v>0.01</v>
      </c>
      <c r="R50" s="39">
        <v>0.01</v>
      </c>
      <c r="S50" s="39">
        <v>0.78</v>
      </c>
      <c r="T50" s="39">
        <v>1.22</v>
      </c>
      <c r="U50" s="39">
        <v>5.45</v>
      </c>
      <c r="V50" s="30">
        <v>0.11</v>
      </c>
    </row>
    <row r="51" spans="1:22">
      <c r="A51" s="37"/>
      <c r="B51" s="39" t="s">
        <v>153</v>
      </c>
      <c r="C51" s="40">
        <v>5.3</v>
      </c>
      <c r="D51" s="40">
        <v>15.2</v>
      </c>
      <c r="E51" s="40">
        <v>11.2</v>
      </c>
      <c r="F51" s="40">
        <v>7.5</v>
      </c>
      <c r="G51" s="40">
        <v>4.5</v>
      </c>
      <c r="H51" s="40">
        <v>3.9</v>
      </c>
      <c r="I51" s="38">
        <v>8013284592.25444</v>
      </c>
      <c r="J51" s="38">
        <v>22488.0645393214</v>
      </c>
      <c r="K51" s="38">
        <f t="shared" si="2"/>
        <v>2.80634791893678e-6</v>
      </c>
      <c r="L51" s="41">
        <v>10.2</v>
      </c>
      <c r="M51" s="38">
        <f>(C51*L51)/22.5</f>
        <v>2.40266666666667</v>
      </c>
      <c r="N51" s="39">
        <v>1.23</v>
      </c>
      <c r="O51" s="39">
        <v>0.01</v>
      </c>
      <c r="P51" s="39">
        <v>14.22</v>
      </c>
      <c r="Q51" s="39">
        <v>0.01</v>
      </c>
      <c r="R51" s="39">
        <v>1.23</v>
      </c>
      <c r="S51" s="39">
        <v>0.09</v>
      </c>
      <c r="T51" s="39">
        <v>1.87</v>
      </c>
      <c r="U51" s="39">
        <v>12.32</v>
      </c>
      <c r="V51" s="30">
        <v>0.17</v>
      </c>
    </row>
    <row r="52" spans="1:22">
      <c r="B52" s="39" t="s">
        <v>154</v>
      </c>
      <c r="C52" s="40">
        <v>4.2</v>
      </c>
      <c r="D52" s="40">
        <v>10.2</v>
      </c>
      <c r="E52" s="40">
        <v>9.3</v>
      </c>
      <c r="F52" s="40">
        <v>3.6</v>
      </c>
      <c r="G52" s="40">
        <v>4.5</v>
      </c>
      <c r="H52" s="40">
        <v>2.7</v>
      </c>
      <c r="I52" s="38">
        <v>4569412446.11223</v>
      </c>
      <c r="J52" s="38">
        <v>3669.4141255217</v>
      </c>
      <c r="K52" s="38">
        <f t="shared" si="2"/>
        <v>8.03038501950886e-7</v>
      </c>
      <c r="L52" s="41">
        <v>4.4</v>
      </c>
      <c r="M52" s="38">
        <f>(C52*L52)/22.5</f>
        <v>0.821333333333333</v>
      </c>
      <c r="N52" s="39">
        <v>0.01</v>
      </c>
      <c r="O52" s="39">
        <v>0.01</v>
      </c>
      <c r="P52" s="39">
        <v>2.65</v>
      </c>
      <c r="Q52" s="39">
        <v>0.33</v>
      </c>
      <c r="R52" s="39">
        <v>8.98</v>
      </c>
      <c r="S52" s="39">
        <v>0.05</v>
      </c>
      <c r="T52" s="39">
        <v>5.78</v>
      </c>
      <c r="U52" s="39">
        <v>63.02</v>
      </c>
      <c r="V52" s="30">
        <v>0.22</v>
      </c>
    </row>
    <row r="53" spans="1:22">
      <c r="B53" s="39" t="s">
        <v>155</v>
      </c>
      <c r="C53" s="40">
        <v>4.6</v>
      </c>
      <c r="D53" s="40">
        <v>17.9</v>
      </c>
      <c r="E53" s="40">
        <v>15.3</v>
      </c>
      <c r="F53" s="40">
        <v>4.5</v>
      </c>
      <c r="G53" s="40">
        <v>3.9</v>
      </c>
      <c r="H53" s="40">
        <v>3</v>
      </c>
      <c r="I53" s="38">
        <v>5746333241.0456</v>
      </c>
      <c r="J53" s="38">
        <v>20501.2920000141</v>
      </c>
      <c r="K53" s="38">
        <f t="shared" si="2"/>
        <v>3.56771721026811e-6</v>
      </c>
      <c r="L53" s="41">
        <v>4.6</v>
      </c>
      <c r="M53" s="38">
        <f>(C53*L53)/22.5</f>
        <v>0.940444444444444</v>
      </c>
      <c r="N53" s="39">
        <v>15.1</v>
      </c>
      <c r="O53" s="39">
        <v>0.01</v>
      </c>
      <c r="P53" s="39">
        <v>9.67</v>
      </c>
      <c r="Q53" s="39">
        <v>0.01</v>
      </c>
      <c r="R53" s="39">
        <v>7.99</v>
      </c>
      <c r="S53" s="39">
        <v>0.01</v>
      </c>
      <c r="T53" s="39">
        <v>7.77</v>
      </c>
      <c r="U53" s="39">
        <v>52.02</v>
      </c>
      <c r="V53" s="30">
        <v>0.24</v>
      </c>
    </row>
    <row r="54" spans="1:22">
      <c r="B54" s="39" t="s">
        <v>156</v>
      </c>
      <c r="C54" s="40">
        <v>4</v>
      </c>
      <c r="D54" s="40">
        <v>8.9</v>
      </c>
      <c r="E54" s="40">
        <v>6.7</v>
      </c>
      <c r="F54" s="40">
        <v>4.6</v>
      </c>
      <c r="G54" s="40">
        <v>3.8</v>
      </c>
      <c r="H54" s="40">
        <v>3.8</v>
      </c>
      <c r="I54" s="38">
        <v>24595745042.2641</v>
      </c>
      <c r="J54" s="38">
        <v>1389.20442097721</v>
      </c>
      <c r="K54" s="38">
        <f t="shared" si="2"/>
        <v>5.64814937945596e-8</v>
      </c>
      <c r="L54" s="41">
        <v>4.5</v>
      </c>
      <c r="M54" s="38">
        <f>(C54*L54)/22.5</f>
        <v>0.8</v>
      </c>
      <c r="N54" s="39">
        <v>11.25</v>
      </c>
      <c r="O54" s="39">
        <v>0.01</v>
      </c>
      <c r="P54" s="39">
        <v>39.68</v>
      </c>
      <c r="Q54" s="39">
        <v>0.3</v>
      </c>
      <c r="R54" s="39">
        <v>12.65</v>
      </c>
      <c r="S54" s="39">
        <v>22.01</v>
      </c>
      <c r="T54" s="39">
        <v>9.49</v>
      </c>
      <c r="U54" s="39">
        <v>201.99</v>
      </c>
      <c r="V54" s="30">
        <v>0.08</v>
      </c>
    </row>
    <row r="55" spans="1:22">
      <c r="B55" s="39" t="s">
        <v>157</v>
      </c>
      <c r="C55" s="40">
        <v>3.9</v>
      </c>
      <c r="D55" s="40">
        <v>9.2</v>
      </c>
      <c r="E55" s="40">
        <v>6.3</v>
      </c>
      <c r="F55" s="40">
        <v>5.2</v>
      </c>
      <c r="G55" s="40">
        <v>3.3</v>
      </c>
      <c r="H55" s="40">
        <v>3</v>
      </c>
      <c r="I55" s="38">
        <v>42378968142.111</v>
      </c>
      <c r="J55" s="38">
        <v>44115.0013860222</v>
      </c>
      <c r="K55" s="38">
        <f>J55/I55</f>
        <v>1.0409645000815e-6</v>
      </c>
      <c r="L55" s="41">
        <v>6.4</v>
      </c>
      <c r="M55" s="38">
        <f>(C55*L55)/22.5</f>
        <v>1.10933333333333</v>
      </c>
      <c r="N55" s="39">
        <v>6.66</v>
      </c>
      <c r="O55" s="39">
        <v>0.01</v>
      </c>
      <c r="P55" s="39">
        <v>27.1</v>
      </c>
      <c r="Q55" s="39">
        <v>2.18</v>
      </c>
      <c r="R55" s="39">
        <v>13.66</v>
      </c>
      <c r="S55" s="39">
        <v>21.81</v>
      </c>
      <c r="T55" s="39">
        <v>4.45</v>
      </c>
      <c r="U55" s="39">
        <v>10.47</v>
      </c>
      <c r="V55" s="30">
        <v>0.15</v>
      </c>
    </row>
    <row r="57" spans="1:22">
      <c r="I57" s="38"/>
      <c r="J57" s="38"/>
    </row>
    <row r="58" spans="1:22">
      <c r="I58" s="38"/>
      <c r="J58" s="38"/>
    </row>
    <row r="61" spans="1:22">
      <c r="A61" s="43"/>
      <c r="B61" s="44"/>
      <c r="C61" s="45"/>
      <c r="D61" s="45"/>
      <c r="E61" s="45"/>
      <c r="F61" s="45"/>
      <c r="G61" s="45"/>
      <c r="H61" s="45"/>
      <c r="I61" s="44"/>
      <c r="J61" s="44"/>
      <c r="K61" s="46"/>
      <c r="L61" s="46"/>
      <c r="M61" s="44"/>
      <c r="N61" s="44"/>
      <c r="O61" s="44"/>
      <c r="P61" s="44"/>
      <c r="Q61" s="44"/>
      <c r="R61" s="44"/>
      <c r="S61" s="44"/>
      <c r="T61" s="37"/>
    </row>
    <row r="62" spans="1:22">
      <c r="A62" s="41"/>
      <c r="B62" s="44"/>
      <c r="C62" s="45"/>
      <c r="D62" s="45"/>
      <c r="E62" s="45"/>
      <c r="F62" s="45"/>
      <c r="G62" s="45"/>
      <c r="H62" s="45"/>
      <c r="I62" s="44"/>
      <c r="J62" s="44"/>
      <c r="K62" s="47"/>
      <c r="L62" s="38"/>
      <c r="M62" s="44"/>
      <c r="N62" s="44"/>
      <c r="O62" s="44"/>
      <c r="P62" s="44"/>
      <c r="Q62" s="44"/>
      <c r="R62" s="44"/>
      <c r="S62" s="44"/>
    </row>
    <row r="63" spans="1:22">
      <c r="A63" s="41"/>
      <c r="B63" s="44"/>
      <c r="C63" s="45"/>
      <c r="D63" s="45"/>
      <c r="E63" s="45"/>
      <c r="F63" s="45"/>
      <c r="G63" s="45"/>
      <c r="H63" s="45"/>
      <c r="I63" s="44"/>
      <c r="J63" s="44"/>
      <c r="K63" s="47"/>
      <c r="L63" s="38"/>
      <c r="M63" s="44"/>
      <c r="N63" s="44"/>
      <c r="O63" s="44"/>
      <c r="P63" s="44"/>
      <c r="Q63" s="44"/>
      <c r="R63" s="44"/>
      <c r="S63" s="44"/>
    </row>
    <row r="64" spans="1:22">
      <c r="A64" s="41"/>
      <c r="B64" s="44"/>
      <c r="C64" s="45"/>
      <c r="D64" s="45"/>
      <c r="E64" s="45"/>
      <c r="F64" s="45"/>
      <c r="G64" s="45"/>
      <c r="H64" s="45"/>
      <c r="I64" s="44"/>
      <c r="J64" s="44"/>
      <c r="K64" s="47"/>
      <c r="L64" s="38"/>
      <c r="M64" s="44"/>
      <c r="N64" s="44"/>
      <c r="O64" s="44"/>
      <c r="P64" s="44"/>
      <c r="Q64" s="44"/>
      <c r="R64" s="44"/>
      <c r="S64" s="44"/>
    </row>
    <row r="65" spans="1:19">
      <c r="A65" s="41"/>
      <c r="B65" s="44"/>
      <c r="C65" s="45"/>
      <c r="D65" s="45"/>
      <c r="E65" s="45"/>
      <c r="F65" s="45"/>
      <c r="G65" s="45"/>
      <c r="H65" s="45"/>
      <c r="I65" s="44"/>
      <c r="J65" s="44"/>
      <c r="K65" s="47"/>
      <c r="L65" s="38"/>
      <c r="M65" s="44"/>
      <c r="N65" s="44"/>
      <c r="O65" s="44"/>
      <c r="P65" s="44"/>
      <c r="Q65" s="44"/>
      <c r="R65" s="44"/>
      <c r="S65" s="44"/>
    </row>
    <row r="66" spans="1:19">
      <c r="A66" s="41"/>
      <c r="B66" s="44"/>
      <c r="C66" s="45"/>
      <c r="D66" s="45"/>
      <c r="E66" s="45"/>
      <c r="F66" s="45"/>
      <c r="G66" s="45"/>
      <c r="H66" s="45"/>
      <c r="I66" s="44"/>
      <c r="J66" s="44"/>
      <c r="K66" s="47"/>
      <c r="L66" s="38"/>
      <c r="M66" s="44"/>
      <c r="N66" s="44"/>
      <c r="O66" s="44"/>
      <c r="P66" s="44"/>
      <c r="Q66" s="44"/>
      <c r="R66" s="44"/>
      <c r="S66" s="44"/>
    </row>
    <row r="67" spans="1:19">
      <c r="A67" s="41"/>
      <c r="B67" s="44"/>
      <c r="C67" s="45"/>
      <c r="D67" s="45"/>
      <c r="E67" s="45"/>
      <c r="F67" s="45"/>
      <c r="G67" s="45"/>
      <c r="H67" s="45"/>
      <c r="I67" s="44"/>
      <c r="J67" s="44"/>
      <c r="K67" s="47"/>
      <c r="L67" s="38"/>
      <c r="M67" s="44"/>
      <c r="N67" s="44"/>
      <c r="O67" s="44"/>
      <c r="P67" s="44"/>
      <c r="Q67" s="44"/>
      <c r="R67" s="44"/>
      <c r="S67" s="44"/>
    </row>
    <row r="68" spans="1:19">
      <c r="A68" s="41"/>
      <c r="B68" s="44"/>
      <c r="C68" s="45"/>
      <c r="D68" s="45"/>
      <c r="E68" s="45"/>
      <c r="F68" s="45"/>
      <c r="G68" s="45"/>
      <c r="H68" s="45"/>
      <c r="I68" s="44"/>
      <c r="J68" s="44"/>
      <c r="K68" s="47"/>
      <c r="L68" s="38"/>
      <c r="M68" s="44"/>
      <c r="N68" s="44"/>
      <c r="O68" s="44"/>
      <c r="P68" s="44"/>
      <c r="Q68" s="44"/>
      <c r="R68" s="44"/>
      <c r="S68" s="44"/>
    </row>
    <row r="69" spans="1:19">
      <c r="A69" s="41"/>
      <c r="B69" s="44"/>
      <c r="C69" s="45"/>
      <c r="D69" s="45"/>
      <c r="E69" s="45"/>
      <c r="F69" s="45"/>
      <c r="G69" s="45"/>
      <c r="H69" s="45"/>
      <c r="I69" s="44"/>
      <c r="J69" s="44"/>
      <c r="K69" s="47"/>
      <c r="L69" s="38"/>
      <c r="M69" s="44"/>
      <c r="N69" s="44"/>
      <c r="O69" s="44"/>
      <c r="P69" s="44"/>
      <c r="Q69" s="44"/>
      <c r="R69" s="44"/>
      <c r="S69" s="44"/>
    </row>
    <row r="70" spans="1:19">
      <c r="A70" s="41"/>
      <c r="B70" s="44"/>
      <c r="C70" s="45"/>
      <c r="D70" s="45"/>
      <c r="E70" s="45"/>
      <c r="F70" s="45"/>
      <c r="G70" s="45"/>
      <c r="H70" s="45"/>
      <c r="I70" s="44"/>
      <c r="J70" s="44"/>
      <c r="K70" s="47"/>
      <c r="L70" s="38"/>
      <c r="M70" s="44"/>
      <c r="N70" s="44"/>
      <c r="O70" s="44"/>
      <c r="P70" s="44"/>
      <c r="Q70" s="44"/>
      <c r="R70" s="44"/>
      <c r="S70" s="44"/>
    </row>
    <row r="71" spans="1:19">
      <c r="A71" s="41"/>
      <c r="B71" s="44"/>
      <c r="C71" s="45"/>
      <c r="D71" s="45"/>
      <c r="E71" s="45"/>
      <c r="F71" s="45"/>
      <c r="G71" s="45"/>
      <c r="H71" s="45"/>
      <c r="I71" s="44"/>
      <c r="J71" s="44"/>
      <c r="K71" s="47"/>
      <c r="L71" s="38"/>
      <c r="M71" s="44"/>
      <c r="N71" s="44"/>
      <c r="O71" s="44"/>
      <c r="P71" s="44"/>
      <c r="Q71" s="44"/>
      <c r="R71" s="44"/>
      <c r="S71" s="44"/>
    </row>
    <row r="72" spans="1:19">
      <c r="A72" s="41"/>
      <c r="B72" s="44"/>
      <c r="C72" s="45"/>
      <c r="D72" s="45"/>
      <c r="E72" s="45"/>
      <c r="F72" s="45"/>
      <c r="G72" s="45"/>
      <c r="H72" s="45"/>
      <c r="I72" s="44"/>
      <c r="J72" s="44"/>
      <c r="K72" s="47"/>
      <c r="L72" s="38"/>
      <c r="M72" s="44"/>
      <c r="N72" s="44"/>
      <c r="O72" s="44"/>
      <c r="P72" s="44"/>
      <c r="Q72" s="44"/>
      <c r="R72" s="44"/>
      <c r="S72" s="44"/>
    </row>
    <row r="73" spans="1:19">
      <c r="A73" s="41"/>
      <c r="B73" s="44"/>
      <c r="C73" s="45"/>
      <c r="D73" s="45"/>
      <c r="E73" s="45"/>
      <c r="F73" s="45"/>
      <c r="G73" s="45"/>
      <c r="H73" s="45"/>
      <c r="I73" s="44"/>
      <c r="J73" s="44"/>
      <c r="K73" s="47"/>
      <c r="L73" s="38"/>
      <c r="M73" s="44"/>
      <c r="N73" s="44"/>
      <c r="O73" s="44"/>
      <c r="P73" s="44"/>
      <c r="Q73" s="44"/>
      <c r="R73" s="44"/>
      <c r="S73" s="44"/>
    </row>
    <row r="74" spans="1:19">
      <c r="A74" s="41"/>
      <c r="B74" s="44"/>
      <c r="C74" s="45"/>
      <c r="D74" s="45"/>
      <c r="E74" s="45"/>
      <c r="F74" s="45"/>
      <c r="G74" s="45"/>
      <c r="H74" s="45"/>
      <c r="I74" s="44"/>
      <c r="J74" s="44"/>
      <c r="K74" s="48"/>
      <c r="L74" s="38"/>
      <c r="M74" s="44"/>
      <c r="N74" s="44"/>
      <c r="O74" s="44"/>
      <c r="P74" s="44"/>
      <c r="Q74" s="44"/>
      <c r="R74" s="44"/>
      <c r="S74" s="44"/>
    </row>
    <row r="75" spans="1:19">
      <c r="A75" s="41"/>
      <c r="B75" s="44"/>
      <c r="C75" s="45"/>
      <c r="D75" s="45"/>
      <c r="E75" s="45"/>
      <c r="F75" s="45"/>
      <c r="G75" s="45"/>
      <c r="H75" s="45"/>
      <c r="I75" s="44"/>
      <c r="J75" s="44"/>
      <c r="K75" s="48"/>
      <c r="L75" s="38"/>
      <c r="M75" s="44"/>
      <c r="N75" s="44"/>
      <c r="O75" s="44"/>
      <c r="P75" s="44"/>
      <c r="Q75" s="44"/>
      <c r="R75" s="44"/>
      <c r="S75" s="44"/>
    </row>
    <row r="76" spans="1:19">
      <c r="A76" s="41"/>
      <c r="B76" s="44"/>
      <c r="C76" s="45"/>
      <c r="D76" s="45"/>
      <c r="E76" s="45"/>
      <c r="F76" s="45"/>
      <c r="G76" s="45"/>
      <c r="H76" s="45"/>
      <c r="I76" s="44"/>
      <c r="J76" s="44"/>
      <c r="K76" s="48"/>
      <c r="L76" s="38"/>
      <c r="M76" s="44"/>
      <c r="N76" s="44"/>
      <c r="O76" s="44"/>
      <c r="P76" s="44"/>
      <c r="Q76" s="44"/>
      <c r="R76" s="44"/>
      <c r="S76" s="44"/>
    </row>
    <row r="77" spans="1:19">
      <c r="A77" s="41"/>
      <c r="B77" s="44"/>
      <c r="C77" s="45"/>
      <c r="D77" s="45"/>
      <c r="E77" s="45"/>
      <c r="F77" s="45"/>
      <c r="G77" s="45"/>
      <c r="H77" s="45"/>
      <c r="I77" s="44"/>
      <c r="J77" s="44"/>
      <c r="K77" s="48"/>
      <c r="L77" s="38"/>
      <c r="M77" s="44"/>
      <c r="N77" s="44"/>
      <c r="O77" s="44"/>
      <c r="P77" s="44"/>
      <c r="Q77" s="44"/>
      <c r="R77" s="44"/>
      <c r="S77" s="44"/>
    </row>
    <row r="78" spans="1:19">
      <c r="A78" s="41"/>
      <c r="B78" s="44"/>
      <c r="C78" s="45"/>
      <c r="D78" s="45"/>
      <c r="E78" s="45"/>
      <c r="F78" s="45"/>
      <c r="G78" s="45"/>
      <c r="H78" s="45"/>
      <c r="I78" s="44"/>
      <c r="J78" s="44"/>
      <c r="K78" s="48"/>
      <c r="L78" s="38"/>
      <c r="M78" s="44"/>
      <c r="N78" s="44"/>
      <c r="O78" s="44"/>
      <c r="P78" s="44"/>
      <c r="Q78" s="44"/>
      <c r="R78" s="44"/>
      <c r="S78" s="44"/>
    </row>
    <row r="79" spans="1:19">
      <c r="A79" s="41"/>
      <c r="B79" s="44"/>
      <c r="C79" s="45"/>
      <c r="D79" s="45"/>
      <c r="E79" s="45"/>
      <c r="F79" s="45"/>
      <c r="G79" s="45"/>
      <c r="H79" s="45"/>
      <c r="I79" s="44"/>
      <c r="J79" s="44"/>
      <c r="K79" s="48"/>
      <c r="L79" s="38"/>
      <c r="M79" s="44"/>
      <c r="N79" s="44"/>
      <c r="O79" s="44"/>
      <c r="P79" s="44"/>
      <c r="Q79" s="44"/>
      <c r="R79" s="44"/>
      <c r="S79" s="44"/>
    </row>
    <row r="80" spans="1:19">
      <c r="A80" s="41"/>
      <c r="B80" s="44"/>
      <c r="C80" s="45"/>
      <c r="D80" s="45"/>
      <c r="E80" s="45"/>
      <c r="F80" s="45"/>
      <c r="G80" s="45"/>
      <c r="H80" s="45"/>
      <c r="I80" s="44"/>
      <c r="J80" s="44"/>
      <c r="K80" s="48"/>
      <c r="L80" s="38"/>
      <c r="M80" s="44"/>
      <c r="N80" s="44"/>
      <c r="O80" s="44"/>
      <c r="P80" s="44"/>
      <c r="Q80" s="44"/>
      <c r="R80" s="44"/>
      <c r="S80" s="44"/>
    </row>
    <row r="81" spans="1:19">
      <c r="A81" s="41"/>
      <c r="B81" s="44"/>
      <c r="C81" s="45"/>
      <c r="D81" s="45"/>
      <c r="E81" s="45"/>
      <c r="F81" s="45"/>
      <c r="G81" s="45"/>
      <c r="H81" s="45"/>
      <c r="I81" s="44"/>
      <c r="J81" s="44"/>
      <c r="K81" s="48"/>
      <c r="L81" s="38"/>
      <c r="M81" s="44"/>
      <c r="N81" s="44"/>
      <c r="O81" s="44"/>
      <c r="P81" s="44"/>
      <c r="Q81" s="44"/>
      <c r="R81" s="44"/>
      <c r="S81" s="44"/>
    </row>
    <row r="82" spans="1:19">
      <c r="A82" s="41"/>
      <c r="B82" s="44"/>
      <c r="C82" s="45"/>
      <c r="D82" s="45"/>
      <c r="E82" s="45"/>
      <c r="F82" s="45"/>
      <c r="G82" s="45"/>
      <c r="H82" s="45"/>
      <c r="I82" s="44"/>
      <c r="J82" s="44"/>
      <c r="K82" s="48"/>
      <c r="L82" s="38"/>
      <c r="M82" s="44"/>
      <c r="N82" s="44"/>
      <c r="O82" s="44"/>
      <c r="P82" s="44"/>
      <c r="Q82" s="44"/>
      <c r="R82" s="44"/>
      <c r="S82" s="44"/>
    </row>
    <row r="83" spans="1:19">
      <c r="A83" s="41"/>
      <c r="B83" s="44"/>
      <c r="C83" s="45"/>
      <c r="D83" s="45"/>
      <c r="E83" s="45"/>
      <c r="F83" s="45"/>
      <c r="G83" s="45"/>
      <c r="H83" s="45"/>
      <c r="I83" s="44"/>
      <c r="J83" s="44"/>
      <c r="K83" s="48"/>
      <c r="L83" s="38"/>
      <c r="M83" s="44"/>
      <c r="N83" s="44"/>
      <c r="O83" s="44"/>
      <c r="P83" s="44"/>
      <c r="Q83" s="44"/>
      <c r="R83" s="44"/>
      <c r="S83" s="44"/>
    </row>
    <row r="84" spans="1:19">
      <c r="A84" s="41"/>
      <c r="B84" s="44"/>
      <c r="C84" s="45"/>
      <c r="D84" s="45"/>
      <c r="E84" s="45"/>
      <c r="F84" s="45"/>
      <c r="G84" s="45"/>
      <c r="H84" s="45"/>
      <c r="I84" s="44"/>
      <c r="J84" s="44"/>
      <c r="K84" s="48"/>
      <c r="L84" s="38"/>
      <c r="M84" s="44"/>
      <c r="N84" s="44"/>
      <c r="O84" s="44"/>
      <c r="P84" s="44"/>
      <c r="Q84" s="44"/>
      <c r="R84" s="44"/>
      <c r="S84" s="44"/>
    </row>
    <row r="85" spans="1:19">
      <c r="A85" s="41"/>
      <c r="B85" s="44"/>
      <c r="C85" s="45"/>
      <c r="D85" s="45"/>
      <c r="E85" s="45"/>
      <c r="F85" s="45"/>
      <c r="G85" s="45"/>
      <c r="H85" s="45"/>
      <c r="I85" s="44"/>
      <c r="J85" s="44"/>
      <c r="K85" s="48"/>
      <c r="L85" s="38"/>
      <c r="M85" s="44"/>
      <c r="N85" s="44"/>
      <c r="O85" s="44"/>
      <c r="P85" s="44"/>
      <c r="Q85" s="44"/>
      <c r="R85" s="44"/>
      <c r="S85" s="44"/>
    </row>
    <row r="86" spans="1:19">
      <c r="A86" s="41"/>
      <c r="B86" s="44"/>
      <c r="C86" s="45"/>
      <c r="D86" s="45"/>
      <c r="E86" s="45"/>
      <c r="F86" s="45"/>
      <c r="G86" s="45"/>
      <c r="H86" s="45"/>
      <c r="I86" s="44"/>
      <c r="J86" s="44"/>
      <c r="K86" s="48"/>
      <c r="L86" s="38"/>
      <c r="M86" s="44"/>
      <c r="N86" s="44"/>
      <c r="O86" s="44"/>
      <c r="P86" s="44"/>
      <c r="Q86" s="44"/>
      <c r="R86" s="44"/>
      <c r="S86" s="44"/>
    </row>
    <row r="87" spans="1:19">
      <c r="A87" s="41"/>
      <c r="B87" s="44"/>
      <c r="C87" s="45"/>
      <c r="D87" s="45"/>
      <c r="E87" s="45"/>
      <c r="F87" s="45"/>
      <c r="G87" s="45"/>
      <c r="H87" s="45"/>
      <c r="I87" s="44"/>
      <c r="J87" s="44"/>
      <c r="K87" s="48"/>
      <c r="L87" s="38"/>
      <c r="M87" s="44"/>
      <c r="N87" s="44"/>
      <c r="O87" s="44"/>
      <c r="P87" s="44"/>
      <c r="Q87" s="44"/>
      <c r="R87" s="44"/>
      <c r="S87" s="44"/>
    </row>
    <row r="88" spans="1:19">
      <c r="A88" s="41"/>
      <c r="B88" s="44"/>
      <c r="C88" s="45"/>
      <c r="D88" s="45"/>
      <c r="E88" s="45"/>
      <c r="F88" s="45"/>
      <c r="G88" s="45"/>
      <c r="H88" s="45"/>
      <c r="I88" s="44"/>
      <c r="J88" s="44"/>
      <c r="K88" s="48"/>
      <c r="L88" s="38"/>
      <c r="M88" s="44"/>
      <c r="N88" s="44"/>
      <c r="O88" s="44"/>
      <c r="P88" s="44"/>
      <c r="Q88" s="44"/>
      <c r="R88" s="44"/>
      <c r="S88" s="44"/>
    </row>
    <row r="89" spans="1:19">
      <c r="A89" s="41"/>
      <c r="B89" s="44"/>
      <c r="C89" s="45"/>
      <c r="D89" s="45"/>
      <c r="E89" s="45"/>
      <c r="F89" s="45"/>
      <c r="G89" s="45"/>
      <c r="H89" s="45"/>
      <c r="I89" s="44"/>
      <c r="J89" s="44"/>
      <c r="K89" s="48"/>
      <c r="L89" s="38"/>
      <c r="M89" s="44"/>
      <c r="N89" s="44"/>
      <c r="O89" s="44"/>
      <c r="P89" s="44"/>
      <c r="Q89" s="44"/>
      <c r="R89" s="44"/>
      <c r="S89" s="44"/>
    </row>
    <row r="90" spans="1:19">
      <c r="A90" s="41"/>
      <c r="B90" s="44"/>
      <c r="C90" s="45"/>
      <c r="D90" s="45"/>
      <c r="E90" s="45"/>
      <c r="F90" s="45"/>
      <c r="G90" s="45"/>
      <c r="H90" s="45"/>
      <c r="I90" s="44"/>
      <c r="J90" s="44"/>
      <c r="K90" s="48"/>
      <c r="L90" s="38"/>
      <c r="M90" s="44"/>
      <c r="N90" s="44"/>
      <c r="O90" s="44"/>
      <c r="P90" s="44"/>
      <c r="Q90" s="44"/>
      <c r="R90" s="44"/>
      <c r="S90" s="44"/>
    </row>
    <row r="91" spans="1:19">
      <c r="A91" s="41"/>
      <c r="B91" s="44"/>
      <c r="C91" s="45"/>
      <c r="D91" s="45"/>
      <c r="E91" s="45"/>
      <c r="F91" s="45"/>
      <c r="G91" s="45"/>
      <c r="H91" s="45"/>
      <c r="I91" s="44"/>
      <c r="J91" s="44"/>
      <c r="K91" s="48"/>
      <c r="L91" s="38"/>
      <c r="M91" s="44"/>
      <c r="N91" s="44"/>
      <c r="O91" s="44"/>
      <c r="P91" s="44"/>
      <c r="Q91" s="44"/>
      <c r="R91" s="44"/>
      <c r="S91" s="44"/>
    </row>
    <row r="92" spans="1:19">
      <c r="A92" s="41"/>
      <c r="B92" s="44"/>
      <c r="C92" s="45"/>
      <c r="D92" s="45"/>
      <c r="E92" s="45"/>
      <c r="F92" s="45"/>
      <c r="G92" s="45"/>
      <c r="H92" s="45"/>
      <c r="I92" s="44"/>
      <c r="J92" s="44"/>
      <c r="K92" s="48"/>
      <c r="L92" s="38"/>
      <c r="M92" s="44"/>
      <c r="N92" s="44"/>
      <c r="O92" s="44"/>
      <c r="P92" s="44"/>
      <c r="Q92" s="44"/>
      <c r="R92" s="44"/>
      <c r="S92" s="44"/>
    </row>
    <row r="93" spans="1:19">
      <c r="A93" s="41"/>
      <c r="B93" s="44"/>
      <c r="C93" s="45"/>
      <c r="D93" s="45"/>
      <c r="E93" s="45"/>
      <c r="F93" s="45"/>
      <c r="G93" s="45"/>
      <c r="H93" s="45"/>
      <c r="I93" s="44"/>
      <c r="J93" s="44"/>
      <c r="K93" s="48"/>
      <c r="L93" s="38"/>
      <c r="M93" s="44"/>
      <c r="N93" s="44"/>
      <c r="O93" s="44"/>
      <c r="P93" s="44"/>
      <c r="Q93" s="44"/>
      <c r="R93" s="44"/>
      <c r="S93" s="44"/>
    </row>
    <row r="94" spans="1:19">
      <c r="A94" s="41"/>
      <c r="B94" s="44"/>
      <c r="C94" s="45"/>
      <c r="D94" s="45"/>
      <c r="E94" s="45"/>
      <c r="F94" s="45"/>
      <c r="G94" s="45"/>
      <c r="H94" s="45"/>
      <c r="I94" s="44"/>
      <c r="J94" s="44"/>
      <c r="K94" s="48"/>
      <c r="L94" s="38"/>
      <c r="M94" s="44"/>
      <c r="N94" s="44"/>
      <c r="O94" s="44"/>
      <c r="P94" s="44"/>
      <c r="Q94" s="44"/>
      <c r="R94" s="44"/>
      <c r="S94" s="44"/>
    </row>
    <row r="95" spans="1:19">
      <c r="A95" s="41"/>
      <c r="B95" s="44"/>
      <c r="C95" s="45"/>
      <c r="D95" s="45"/>
      <c r="E95" s="45"/>
      <c r="F95" s="45"/>
      <c r="G95" s="45"/>
      <c r="H95" s="45"/>
      <c r="I95" s="44"/>
      <c r="J95" s="44"/>
      <c r="K95" s="48"/>
      <c r="L95" s="38"/>
      <c r="M95" s="44"/>
      <c r="N95" s="44"/>
      <c r="O95" s="44"/>
      <c r="P95" s="44"/>
      <c r="Q95" s="44"/>
      <c r="R95" s="44"/>
      <c r="S95" s="44"/>
    </row>
    <row r="96" spans="1:19">
      <c r="A96" s="41"/>
      <c r="B96" s="44"/>
      <c r="C96" s="45"/>
      <c r="D96" s="45"/>
      <c r="E96" s="45"/>
      <c r="F96" s="45"/>
      <c r="G96" s="45"/>
      <c r="H96" s="45"/>
      <c r="I96" s="44"/>
      <c r="J96" s="44"/>
      <c r="K96" s="48"/>
      <c r="L96" s="38"/>
      <c r="M96" s="44"/>
      <c r="N96" s="44"/>
      <c r="O96" s="44"/>
      <c r="P96" s="44"/>
      <c r="Q96" s="44"/>
      <c r="R96" s="44"/>
      <c r="S96" s="44"/>
    </row>
    <row r="97" spans="1:19">
      <c r="A97" s="41"/>
      <c r="B97" s="44"/>
      <c r="C97" s="45"/>
      <c r="D97" s="45"/>
      <c r="E97" s="45"/>
      <c r="F97" s="45"/>
      <c r="G97" s="45"/>
      <c r="H97" s="45"/>
      <c r="I97" s="44"/>
      <c r="J97" s="44"/>
      <c r="K97" s="48"/>
      <c r="L97" s="38"/>
      <c r="M97" s="44"/>
      <c r="N97" s="44"/>
      <c r="O97" s="44"/>
      <c r="P97" s="44"/>
      <c r="Q97" s="44"/>
      <c r="R97" s="44"/>
      <c r="S97" s="44"/>
    </row>
    <row r="98" spans="1:19">
      <c r="A98" s="41"/>
      <c r="B98" s="44"/>
      <c r="C98" s="45"/>
      <c r="D98" s="45"/>
      <c r="E98" s="45"/>
      <c r="F98" s="45"/>
      <c r="G98" s="45"/>
      <c r="H98" s="45"/>
      <c r="I98" s="44"/>
      <c r="J98" s="44"/>
      <c r="K98" s="48"/>
      <c r="L98" s="38"/>
      <c r="M98" s="44"/>
      <c r="N98" s="44"/>
      <c r="O98" s="44"/>
      <c r="P98" s="44"/>
      <c r="Q98" s="44"/>
      <c r="R98" s="44"/>
      <c r="S98" s="44"/>
    </row>
    <row r="99" spans="1:19">
      <c r="A99" s="41"/>
      <c r="B99" s="44"/>
      <c r="C99" s="45"/>
      <c r="D99" s="45"/>
      <c r="E99" s="45"/>
      <c r="F99" s="45"/>
      <c r="G99" s="45"/>
      <c r="H99" s="45"/>
      <c r="I99" s="44"/>
      <c r="J99" s="44"/>
      <c r="K99" s="48"/>
      <c r="L99" s="38"/>
      <c r="M99" s="44"/>
      <c r="N99" s="44"/>
      <c r="O99" s="44"/>
      <c r="P99" s="44"/>
      <c r="Q99" s="44"/>
      <c r="R99" s="44"/>
      <c r="S99" s="44"/>
    </row>
    <row r="100" spans="1:19">
      <c r="A100" s="41"/>
      <c r="B100" s="44"/>
      <c r="C100" s="45"/>
      <c r="D100" s="45"/>
      <c r="E100" s="45"/>
      <c r="F100" s="45"/>
      <c r="G100" s="45"/>
      <c r="H100" s="45"/>
      <c r="I100" s="44"/>
      <c r="J100" s="44"/>
      <c r="K100" s="48"/>
      <c r="L100" s="38"/>
      <c r="M100" s="44"/>
      <c r="N100" s="44"/>
      <c r="O100" s="44"/>
      <c r="P100" s="44"/>
      <c r="Q100" s="44"/>
      <c r="R100" s="44"/>
      <c r="S100" s="44"/>
    </row>
    <row r="101" spans="1:19">
      <c r="A101" s="41"/>
      <c r="B101" s="44"/>
      <c r="C101" s="45"/>
      <c r="D101" s="45"/>
      <c r="E101" s="45"/>
      <c r="F101" s="45"/>
      <c r="G101" s="45"/>
      <c r="H101" s="45"/>
      <c r="I101" s="44"/>
      <c r="J101" s="44"/>
      <c r="K101" s="48"/>
      <c r="L101" s="38"/>
      <c r="M101" s="44"/>
      <c r="N101" s="44"/>
      <c r="O101" s="44"/>
      <c r="P101" s="44"/>
      <c r="Q101" s="44"/>
      <c r="R101" s="44"/>
      <c r="S101" s="44"/>
    </row>
    <row r="102" spans="1:19">
      <c r="A102" s="41"/>
      <c r="B102" s="44"/>
      <c r="C102" s="45"/>
      <c r="D102" s="45"/>
      <c r="E102" s="45"/>
      <c r="F102" s="45"/>
      <c r="G102" s="45"/>
      <c r="H102" s="45"/>
      <c r="I102" s="44"/>
      <c r="J102" s="44"/>
      <c r="K102" s="48"/>
      <c r="L102" s="38"/>
      <c r="M102" s="44"/>
      <c r="N102" s="44"/>
      <c r="O102" s="44"/>
      <c r="P102" s="44"/>
      <c r="Q102" s="44"/>
      <c r="R102" s="44"/>
      <c r="S102" s="44"/>
    </row>
    <row r="103" spans="1:19">
      <c r="A103" s="41"/>
      <c r="B103" s="44"/>
      <c r="C103" s="45"/>
      <c r="D103" s="45"/>
      <c r="E103" s="45"/>
      <c r="F103" s="45"/>
      <c r="G103" s="45"/>
      <c r="H103" s="45"/>
      <c r="I103" s="44"/>
      <c r="J103" s="44"/>
      <c r="K103" s="48"/>
      <c r="L103" s="38"/>
      <c r="M103" s="44"/>
      <c r="N103" s="44"/>
      <c r="O103" s="44"/>
      <c r="P103" s="44"/>
      <c r="Q103" s="44"/>
      <c r="R103" s="44"/>
      <c r="S103" s="44"/>
    </row>
    <row r="104" spans="1:19">
      <c r="A104" s="41"/>
      <c r="B104" s="44"/>
      <c r="C104" s="45"/>
      <c r="D104" s="45"/>
      <c r="E104" s="45"/>
      <c r="F104" s="45"/>
      <c r="G104" s="45"/>
      <c r="H104" s="45"/>
      <c r="I104" s="44"/>
      <c r="J104" s="44"/>
      <c r="K104" s="48"/>
      <c r="L104" s="38"/>
      <c r="M104" s="44"/>
      <c r="N104" s="44"/>
      <c r="O104" s="44"/>
      <c r="P104" s="44"/>
      <c r="Q104" s="44"/>
      <c r="R104" s="44"/>
      <c r="S104" s="44"/>
    </row>
    <row r="105" spans="1:19">
      <c r="A105" s="41"/>
      <c r="B105" s="44"/>
      <c r="C105" s="45"/>
      <c r="D105" s="45"/>
      <c r="E105" s="45"/>
      <c r="F105" s="45"/>
      <c r="G105" s="45"/>
      <c r="H105" s="45"/>
      <c r="I105" s="44"/>
      <c r="J105" s="44"/>
      <c r="K105" s="48"/>
      <c r="L105" s="38"/>
      <c r="M105" s="44"/>
      <c r="N105" s="44"/>
      <c r="O105" s="44"/>
      <c r="P105" s="44"/>
      <c r="Q105" s="44"/>
      <c r="R105" s="44"/>
      <c r="S105" s="44"/>
    </row>
    <row r="106" spans="1:19">
      <c r="A106" s="41"/>
      <c r="B106" s="44"/>
      <c r="C106" s="45"/>
      <c r="D106" s="45"/>
      <c r="E106" s="45"/>
      <c r="F106" s="45"/>
      <c r="G106" s="45"/>
      <c r="H106" s="45"/>
      <c r="I106" s="44"/>
      <c r="J106" s="44"/>
      <c r="K106" s="48"/>
      <c r="L106" s="38"/>
      <c r="M106" s="44"/>
      <c r="N106" s="44"/>
      <c r="O106" s="44"/>
      <c r="P106" s="44"/>
      <c r="Q106" s="44"/>
      <c r="R106" s="44"/>
      <c r="S106" s="44"/>
    </row>
    <row r="107" spans="1:19">
      <c r="A107" s="41"/>
      <c r="B107" s="44"/>
      <c r="C107" s="45"/>
      <c r="D107" s="45"/>
      <c r="E107" s="45"/>
      <c r="F107" s="45"/>
      <c r="G107" s="45"/>
      <c r="H107" s="45"/>
      <c r="I107" s="44"/>
      <c r="J107" s="44"/>
      <c r="K107" s="48"/>
      <c r="L107" s="38"/>
      <c r="M107" s="44"/>
      <c r="N107" s="44"/>
      <c r="O107" s="44"/>
      <c r="P107" s="44"/>
      <c r="Q107" s="44"/>
      <c r="R107" s="44"/>
      <c r="S107" s="44"/>
    </row>
    <row r="108" spans="1:19">
      <c r="A108" s="41"/>
      <c r="B108" s="44"/>
      <c r="C108" s="45"/>
      <c r="D108" s="45"/>
      <c r="E108" s="45"/>
      <c r="F108" s="45"/>
      <c r="G108" s="45"/>
      <c r="H108" s="45"/>
      <c r="I108" s="44"/>
      <c r="J108" s="44"/>
      <c r="K108" s="48"/>
      <c r="L108" s="38"/>
      <c r="M108" s="44"/>
      <c r="N108" s="44"/>
      <c r="O108" s="44"/>
      <c r="P108" s="44"/>
      <c r="Q108" s="44"/>
      <c r="R108" s="44"/>
      <c r="S108" s="44"/>
    </row>
    <row r="109" spans="1:19">
      <c r="A109" s="41"/>
      <c r="B109" s="44"/>
      <c r="C109" s="45"/>
      <c r="D109" s="45"/>
      <c r="E109" s="45"/>
      <c r="F109" s="45"/>
      <c r="G109" s="45"/>
      <c r="H109" s="45"/>
      <c r="I109" s="44"/>
      <c r="J109" s="44"/>
      <c r="K109" s="48"/>
      <c r="L109" s="38"/>
      <c r="M109" s="44"/>
      <c r="N109" s="44"/>
      <c r="O109" s="44"/>
      <c r="P109" s="44"/>
      <c r="Q109" s="44"/>
      <c r="R109" s="44"/>
      <c r="S109" s="44"/>
    </row>
    <row r="110" spans="1:19">
      <c r="A110" s="41"/>
      <c r="B110" s="44"/>
      <c r="C110" s="45"/>
      <c r="D110" s="45"/>
      <c r="E110" s="45"/>
      <c r="F110" s="45"/>
      <c r="G110" s="45"/>
      <c r="H110" s="45"/>
      <c r="I110" s="44"/>
      <c r="J110" s="44"/>
      <c r="K110" s="49"/>
      <c r="L110" s="38"/>
      <c r="M110" s="44"/>
      <c r="N110" s="44"/>
      <c r="O110" s="44"/>
      <c r="P110" s="44"/>
      <c r="Q110" s="44"/>
      <c r="R110" s="44"/>
      <c r="S110" s="44"/>
    </row>
    <row r="111" spans="1:19">
      <c r="A111" s="41"/>
      <c r="B111" s="44"/>
      <c r="C111" s="45"/>
      <c r="D111" s="45"/>
      <c r="E111" s="45"/>
      <c r="F111" s="45"/>
      <c r="G111" s="45"/>
      <c r="H111" s="45"/>
      <c r="I111" s="44"/>
      <c r="J111" s="44"/>
      <c r="K111" s="48"/>
      <c r="L111" s="38"/>
      <c r="M111" s="44"/>
      <c r="N111" s="44"/>
      <c r="O111" s="44"/>
      <c r="P111" s="44"/>
      <c r="Q111" s="44"/>
      <c r="R111" s="44"/>
      <c r="S111" s="44"/>
    </row>
    <row r="112" spans="1:19">
      <c r="A112" s="41"/>
      <c r="B112" s="44"/>
      <c r="C112" s="45"/>
      <c r="D112" s="45"/>
      <c r="E112" s="45"/>
      <c r="F112" s="45"/>
      <c r="G112" s="45"/>
      <c r="H112" s="45"/>
      <c r="I112" s="44"/>
      <c r="J112" s="44"/>
      <c r="K112" s="48"/>
      <c r="L112" s="38"/>
      <c r="M112" s="44"/>
      <c r="N112" s="44"/>
      <c r="O112" s="44"/>
      <c r="P112" s="44"/>
      <c r="Q112" s="44"/>
      <c r="R112" s="44"/>
      <c r="S112" s="44"/>
    </row>
    <row r="113" spans="1:19">
      <c r="A113" s="41"/>
      <c r="B113" s="44"/>
      <c r="C113" s="45"/>
      <c r="D113" s="45"/>
      <c r="E113" s="45"/>
      <c r="F113" s="45"/>
      <c r="G113" s="45"/>
      <c r="H113" s="45"/>
      <c r="I113" s="44"/>
      <c r="J113" s="44"/>
      <c r="K113" s="48"/>
      <c r="L113" s="38"/>
      <c r="M113" s="44"/>
      <c r="N113" s="44"/>
      <c r="O113" s="44"/>
      <c r="P113" s="44"/>
      <c r="Q113" s="44"/>
      <c r="R113" s="44"/>
      <c r="S113" s="44"/>
    </row>
    <row r="114" spans="1:19">
      <c r="A114" s="41"/>
      <c r="B114" s="44"/>
      <c r="C114" s="45"/>
      <c r="D114" s="45"/>
      <c r="E114" s="45"/>
      <c r="F114" s="45"/>
      <c r="G114" s="45"/>
      <c r="H114" s="45"/>
      <c r="I114" s="44"/>
      <c r="J114" s="44"/>
      <c r="K114" s="48"/>
      <c r="L114" s="38"/>
      <c r="M114" s="44"/>
      <c r="N114" s="44"/>
      <c r="O114" s="44"/>
      <c r="P114" s="44"/>
      <c r="Q114" s="44"/>
      <c r="R114" s="44"/>
      <c r="S114" s="44"/>
    </row>
    <row r="115" spans="1:19">
      <c r="A115" s="41"/>
      <c r="B115" s="44"/>
      <c r="C115" s="45"/>
      <c r="D115" s="45"/>
      <c r="E115" s="45"/>
      <c r="F115" s="45"/>
      <c r="G115" s="45"/>
      <c r="H115" s="45"/>
      <c r="I115" s="44"/>
      <c r="J115" s="44"/>
      <c r="K115" s="48"/>
      <c r="L115" s="38"/>
      <c r="M115" s="44"/>
      <c r="N115" s="44"/>
      <c r="O115" s="44"/>
      <c r="P115" s="44"/>
      <c r="Q115" s="44"/>
      <c r="R115" s="44"/>
      <c r="S115" s="44"/>
    </row>
    <row r="116" spans="1:19">
      <c r="A116" s="41"/>
      <c r="B116" s="44"/>
      <c r="C116" s="45"/>
      <c r="D116" s="45"/>
      <c r="E116" s="45"/>
      <c r="F116" s="45"/>
      <c r="G116" s="45"/>
      <c r="H116" s="45"/>
      <c r="I116" s="44"/>
      <c r="J116" s="44"/>
      <c r="K116" s="48"/>
      <c r="L116" s="38"/>
      <c r="M116" s="44"/>
      <c r="N116" s="44"/>
      <c r="O116" s="44"/>
      <c r="P116" s="44"/>
      <c r="Q116" s="44"/>
      <c r="R116" s="44"/>
      <c r="S116" s="44"/>
    </row>
    <row r="117" spans="1:19">
      <c r="A117" s="41"/>
      <c r="B117" s="44"/>
      <c r="C117" s="45"/>
      <c r="D117" s="45"/>
      <c r="E117" s="45"/>
      <c r="F117" s="45"/>
      <c r="G117" s="45"/>
      <c r="H117" s="45"/>
      <c r="I117" s="44"/>
      <c r="J117" s="44"/>
      <c r="K117" s="48"/>
      <c r="L117" s="38"/>
      <c r="M117" s="44"/>
      <c r="N117" s="44"/>
      <c r="O117" s="44"/>
      <c r="P117" s="44"/>
      <c r="Q117" s="44"/>
      <c r="R117" s="44"/>
      <c r="S117" s="44"/>
    </row>
    <row r="118" spans="1:19">
      <c r="A118" s="41"/>
      <c r="B118" s="44"/>
      <c r="C118" s="45"/>
      <c r="D118" s="45"/>
      <c r="E118" s="45"/>
      <c r="F118" s="45"/>
      <c r="G118" s="45"/>
      <c r="H118" s="45"/>
      <c r="I118" s="44"/>
      <c r="J118" s="44"/>
      <c r="K118" s="48"/>
      <c r="L118" s="38"/>
      <c r="M118" s="44"/>
      <c r="N118" s="44"/>
      <c r="O118" s="44"/>
      <c r="P118" s="44"/>
      <c r="Q118" s="44"/>
      <c r="R118" s="44"/>
      <c r="S118" s="44"/>
    </row>
    <row r="119" spans="1:19">
      <c r="A119" s="41"/>
      <c r="B119" s="44"/>
      <c r="C119" s="45"/>
      <c r="D119" s="45"/>
      <c r="E119" s="45"/>
      <c r="F119" s="45"/>
      <c r="G119" s="45"/>
      <c r="H119" s="45"/>
      <c r="I119" s="44"/>
      <c r="J119" s="44"/>
      <c r="K119" s="48"/>
      <c r="L119" s="38"/>
      <c r="M119" s="44"/>
      <c r="N119" s="44"/>
      <c r="O119" s="44"/>
      <c r="P119" s="44"/>
      <c r="Q119" s="44"/>
      <c r="R119" s="44"/>
      <c r="S119" s="44"/>
    </row>
    <row r="120" spans="1:19">
      <c r="A120" s="41"/>
      <c r="B120" s="44"/>
      <c r="C120" s="45"/>
      <c r="D120" s="45"/>
      <c r="E120" s="45"/>
      <c r="F120" s="45"/>
      <c r="G120" s="45"/>
      <c r="H120" s="45"/>
      <c r="I120" s="44"/>
      <c r="J120" s="44"/>
      <c r="K120" s="48"/>
      <c r="L120" s="38"/>
      <c r="M120" s="44"/>
      <c r="N120" s="44"/>
      <c r="O120" s="44"/>
      <c r="P120" s="44"/>
      <c r="Q120" s="44"/>
      <c r="R120" s="44"/>
      <c r="S120" s="44"/>
    </row>
    <row r="121" spans="1:19">
      <c r="A121" s="41"/>
      <c r="B121" s="44"/>
      <c r="C121" s="45"/>
      <c r="D121" s="45"/>
      <c r="E121" s="45"/>
      <c r="F121" s="45"/>
      <c r="G121" s="45"/>
      <c r="H121" s="45"/>
      <c r="I121" s="44"/>
      <c r="J121" s="44"/>
      <c r="K121" s="48"/>
      <c r="L121" s="38"/>
      <c r="M121" s="44"/>
      <c r="N121" s="44"/>
      <c r="O121" s="44"/>
      <c r="P121" s="44"/>
      <c r="Q121" s="44"/>
      <c r="R121" s="44"/>
      <c r="S121" s="44"/>
    </row>
    <row r="122" spans="1:19">
      <c r="A122" s="41"/>
      <c r="B122" s="44"/>
      <c r="C122" s="45"/>
      <c r="D122" s="45"/>
      <c r="E122" s="45"/>
      <c r="F122" s="45"/>
      <c r="G122" s="45"/>
      <c r="H122" s="45"/>
      <c r="I122" s="44"/>
      <c r="J122" s="44"/>
      <c r="K122" s="48"/>
      <c r="L122" s="38"/>
      <c r="M122" s="44"/>
      <c r="N122" s="44"/>
      <c r="O122" s="44"/>
      <c r="P122" s="44"/>
      <c r="Q122" s="44"/>
      <c r="R122" s="44"/>
      <c r="S122" s="44"/>
    </row>
    <row r="123" spans="1:19">
      <c r="A123" s="41"/>
      <c r="B123" s="44"/>
      <c r="C123" s="45"/>
      <c r="D123" s="45"/>
      <c r="E123" s="45"/>
      <c r="F123" s="45"/>
      <c r="G123" s="45"/>
      <c r="H123" s="45"/>
      <c r="I123" s="44"/>
      <c r="J123" s="44"/>
      <c r="K123" s="48"/>
      <c r="L123" s="38"/>
      <c r="M123" s="44"/>
      <c r="N123" s="44"/>
      <c r="O123" s="44"/>
      <c r="P123" s="44"/>
      <c r="Q123" s="44"/>
      <c r="R123" s="44"/>
      <c r="S123" s="44"/>
    </row>
    <row r="124" spans="1:19">
      <c r="A124" s="41"/>
      <c r="B124" s="44"/>
      <c r="C124" s="45"/>
      <c r="D124" s="45"/>
      <c r="E124" s="45"/>
      <c r="F124" s="45"/>
      <c r="G124" s="45"/>
      <c r="H124" s="45"/>
      <c r="I124" s="44"/>
      <c r="J124" s="44"/>
      <c r="K124" s="48"/>
      <c r="L124" s="38"/>
      <c r="M124" s="44"/>
      <c r="N124" s="44"/>
      <c r="O124" s="44"/>
      <c r="P124" s="44"/>
      <c r="Q124" s="44"/>
      <c r="R124" s="44"/>
      <c r="S124" s="44"/>
    </row>
    <row r="125" spans="1:19">
      <c r="A125" s="41"/>
      <c r="B125" s="44"/>
      <c r="C125" s="45"/>
      <c r="D125" s="45"/>
      <c r="E125" s="45"/>
      <c r="F125" s="45"/>
      <c r="G125" s="45"/>
      <c r="H125" s="45"/>
      <c r="I125" s="44"/>
      <c r="J125" s="44"/>
      <c r="K125" s="48"/>
      <c r="L125" s="38"/>
      <c r="M125" s="44"/>
      <c r="N125" s="44"/>
      <c r="O125" s="44"/>
      <c r="P125" s="44"/>
      <c r="Q125" s="44"/>
      <c r="R125" s="44"/>
      <c r="S125" s="44"/>
    </row>
    <row r="126" spans="1:19">
      <c r="A126" s="41"/>
      <c r="B126" s="44"/>
      <c r="C126" s="45"/>
      <c r="D126" s="45"/>
      <c r="E126" s="45"/>
      <c r="F126" s="45"/>
      <c r="G126" s="45"/>
      <c r="H126" s="45"/>
      <c r="I126" s="44"/>
      <c r="J126" s="44"/>
      <c r="K126" s="48"/>
      <c r="L126" s="38"/>
      <c r="M126" s="44"/>
      <c r="N126" s="44"/>
      <c r="O126" s="44"/>
      <c r="P126" s="44"/>
      <c r="Q126" s="44"/>
      <c r="R126" s="44"/>
      <c r="S126" s="44"/>
    </row>
    <row r="127" spans="1:19">
      <c r="A127" s="41"/>
      <c r="B127" s="44"/>
      <c r="C127" s="45"/>
      <c r="D127" s="45"/>
      <c r="E127" s="45"/>
      <c r="F127" s="45"/>
      <c r="G127" s="45"/>
      <c r="H127" s="45"/>
      <c r="I127" s="44"/>
      <c r="J127" s="44"/>
      <c r="K127" s="48"/>
      <c r="L127" s="38"/>
      <c r="M127" s="44"/>
      <c r="N127" s="44"/>
      <c r="O127" s="44"/>
      <c r="P127" s="44"/>
      <c r="Q127" s="44"/>
      <c r="R127" s="44"/>
      <c r="S127" s="44"/>
    </row>
    <row r="128" spans="1:19">
      <c r="A128" s="41"/>
      <c r="B128" s="44"/>
      <c r="C128" s="45"/>
      <c r="D128" s="45"/>
      <c r="E128" s="45"/>
      <c r="F128" s="45"/>
      <c r="G128" s="45"/>
      <c r="H128" s="45"/>
      <c r="I128" s="44"/>
      <c r="J128" s="44"/>
      <c r="K128" s="48"/>
      <c r="L128" s="38"/>
      <c r="M128" s="44"/>
      <c r="N128" s="44"/>
      <c r="O128" s="44"/>
      <c r="P128" s="44"/>
      <c r="Q128" s="44"/>
      <c r="R128" s="44"/>
      <c r="S128" s="44"/>
    </row>
    <row r="129" spans="1:19">
      <c r="A129" s="41"/>
      <c r="B129" s="44"/>
      <c r="C129" s="45"/>
      <c r="D129" s="45"/>
      <c r="E129" s="45"/>
      <c r="F129" s="45"/>
      <c r="G129" s="45"/>
      <c r="H129" s="45"/>
      <c r="I129" s="44"/>
      <c r="J129" s="44"/>
      <c r="K129" s="48"/>
      <c r="L129" s="38"/>
      <c r="M129" s="44"/>
      <c r="N129" s="44"/>
      <c r="O129" s="44"/>
      <c r="P129" s="44"/>
      <c r="Q129" s="44"/>
      <c r="R129" s="44"/>
      <c r="S129" s="44"/>
    </row>
    <row r="130" spans="1:19">
      <c r="A130" s="41"/>
      <c r="B130" s="44"/>
      <c r="C130" s="45"/>
      <c r="D130" s="45"/>
      <c r="E130" s="45"/>
      <c r="F130" s="45"/>
      <c r="G130" s="45"/>
      <c r="H130" s="45"/>
      <c r="I130" s="44"/>
      <c r="J130" s="44"/>
      <c r="K130" s="48"/>
      <c r="L130" s="38"/>
      <c r="M130" s="44"/>
      <c r="N130" s="44"/>
      <c r="O130" s="44"/>
      <c r="P130" s="44"/>
      <c r="Q130" s="44"/>
      <c r="R130" s="44"/>
      <c r="S130" s="44"/>
    </row>
    <row r="131" spans="1:19">
      <c r="A131" s="41"/>
      <c r="B131" s="44"/>
      <c r="C131" s="45"/>
      <c r="D131" s="45"/>
      <c r="E131" s="45"/>
      <c r="F131" s="45"/>
      <c r="G131" s="45"/>
      <c r="H131" s="45"/>
      <c r="I131" s="44"/>
      <c r="J131" s="44"/>
      <c r="K131" s="48"/>
      <c r="L131" s="38"/>
      <c r="M131" s="44"/>
      <c r="N131" s="44"/>
      <c r="O131" s="44"/>
      <c r="P131" s="44"/>
      <c r="Q131" s="44"/>
      <c r="R131" s="44"/>
      <c r="S131" s="44"/>
    </row>
    <row r="132" spans="1:19">
      <c r="A132" s="41"/>
      <c r="B132" s="44"/>
      <c r="C132" s="45"/>
      <c r="D132" s="45"/>
      <c r="E132" s="45"/>
      <c r="F132" s="45"/>
      <c r="G132" s="45"/>
      <c r="H132" s="45"/>
      <c r="I132" s="44"/>
      <c r="J132" s="44"/>
      <c r="K132" s="48"/>
      <c r="L132" s="38"/>
      <c r="M132" s="44"/>
      <c r="N132" s="44"/>
      <c r="O132" s="44"/>
      <c r="P132" s="44"/>
      <c r="Q132" s="44"/>
      <c r="R132" s="44"/>
      <c r="S132" s="44"/>
    </row>
    <row r="133" spans="1:19">
      <c r="A133" s="41"/>
      <c r="B133" s="44"/>
      <c r="C133" s="45"/>
      <c r="D133" s="45"/>
      <c r="E133" s="45"/>
      <c r="F133" s="45"/>
      <c r="G133" s="45"/>
      <c r="H133" s="45"/>
      <c r="I133" s="44"/>
      <c r="J133" s="44"/>
      <c r="K133" s="48"/>
      <c r="L133" s="38"/>
      <c r="M133" s="44"/>
      <c r="N133" s="44"/>
      <c r="O133" s="44"/>
      <c r="P133" s="44"/>
      <c r="Q133" s="44"/>
      <c r="R133" s="44"/>
      <c r="S133" s="44"/>
    </row>
    <row r="134" spans="1:19">
      <c r="A134" s="41"/>
      <c r="B134" s="44"/>
      <c r="C134" s="45"/>
      <c r="D134" s="45"/>
      <c r="E134" s="45"/>
      <c r="F134" s="45"/>
      <c r="G134" s="45"/>
      <c r="H134" s="45"/>
      <c r="I134" s="44"/>
      <c r="J134" s="44"/>
      <c r="K134" s="48"/>
      <c r="L134" s="38"/>
      <c r="M134" s="44"/>
      <c r="N134" s="44"/>
      <c r="O134" s="44"/>
      <c r="P134" s="44"/>
      <c r="Q134" s="44"/>
      <c r="R134" s="44"/>
      <c r="S134" s="44"/>
    </row>
    <row r="135" spans="1:19">
      <c r="A135" s="41"/>
      <c r="B135" s="44"/>
      <c r="C135" s="45"/>
      <c r="D135" s="45"/>
      <c r="E135" s="45"/>
      <c r="F135" s="45"/>
      <c r="G135" s="45"/>
      <c r="H135" s="45"/>
      <c r="I135" s="44"/>
      <c r="K135" s="48"/>
      <c r="L135" s="38"/>
      <c r="M135" s="44"/>
      <c r="N135" s="44"/>
      <c r="O135" s="44"/>
      <c r="P135" s="44"/>
      <c r="Q135" s="44"/>
      <c r="R135" s="44"/>
      <c r="S135" s="44"/>
    </row>
    <row r="136" spans="1:19">
      <c r="A136" s="41"/>
      <c r="B136" s="44"/>
      <c r="C136" s="45"/>
      <c r="D136" s="45"/>
      <c r="E136" s="45"/>
      <c r="F136" s="45"/>
      <c r="G136" s="45"/>
      <c r="H136" s="45"/>
      <c r="I136" s="44"/>
      <c r="J136" s="44"/>
      <c r="K136" s="48"/>
      <c r="L136" s="38"/>
      <c r="M136" s="44"/>
      <c r="N136" s="44"/>
      <c r="O136" s="44"/>
      <c r="P136" s="44"/>
      <c r="Q136" s="44"/>
      <c r="R136" s="44"/>
      <c r="S136" s="44"/>
    </row>
    <row r="137" spans="1:19">
      <c r="A137" s="41"/>
      <c r="B137" s="44"/>
      <c r="C137" s="45"/>
      <c r="D137" s="45"/>
      <c r="E137" s="45"/>
      <c r="F137" s="45"/>
      <c r="G137" s="45"/>
      <c r="H137" s="45"/>
      <c r="I137" s="44"/>
      <c r="J137" s="44"/>
      <c r="K137" s="48"/>
      <c r="L137" s="38"/>
      <c r="M137" s="44"/>
      <c r="N137" s="44"/>
      <c r="O137" s="44"/>
      <c r="P137" s="44"/>
      <c r="Q137" s="44"/>
      <c r="R137" s="44"/>
      <c r="S137" s="44"/>
    </row>
    <row r="138" spans="1:19">
      <c r="A138" s="41"/>
      <c r="B138" s="44"/>
      <c r="C138" s="45"/>
      <c r="D138" s="45"/>
      <c r="E138" s="45"/>
      <c r="F138" s="45"/>
      <c r="G138" s="45"/>
      <c r="H138" s="45"/>
      <c r="I138" s="44"/>
      <c r="J138" s="44"/>
      <c r="K138" s="48"/>
      <c r="L138" s="38"/>
      <c r="M138" s="44"/>
      <c r="N138" s="44"/>
      <c r="O138" s="44"/>
      <c r="P138" s="44"/>
      <c r="Q138" s="44"/>
      <c r="R138" s="44"/>
      <c r="S138" s="44"/>
    </row>
    <row r="139" spans="1:19">
      <c r="A139" s="41"/>
      <c r="B139" s="44"/>
      <c r="C139" s="45"/>
      <c r="D139" s="45"/>
      <c r="E139" s="45"/>
      <c r="F139" s="45"/>
      <c r="G139" s="45"/>
      <c r="H139" s="45"/>
      <c r="I139" s="44"/>
      <c r="J139" s="44"/>
      <c r="K139" s="48"/>
      <c r="L139" s="38"/>
      <c r="M139" s="44"/>
      <c r="N139" s="44"/>
      <c r="O139" s="44"/>
      <c r="P139" s="44"/>
      <c r="Q139" s="44"/>
      <c r="R139" s="44"/>
      <c r="S139" s="44"/>
    </row>
    <row r="140" spans="1:19">
      <c r="A140" s="41"/>
      <c r="B140" s="44"/>
      <c r="C140" s="45"/>
      <c r="D140" s="45"/>
      <c r="E140" s="45"/>
      <c r="F140" s="45"/>
      <c r="G140" s="45"/>
      <c r="H140" s="45"/>
      <c r="I140" s="44"/>
      <c r="J140" s="44"/>
      <c r="K140" s="48"/>
      <c r="L140" s="38"/>
      <c r="M140" s="44"/>
      <c r="N140" s="44"/>
      <c r="O140" s="44"/>
      <c r="P140" s="44"/>
      <c r="Q140" s="44"/>
      <c r="R140" s="44"/>
      <c r="S140" s="44"/>
    </row>
    <row r="141" spans="1:19">
      <c r="A141" s="41"/>
      <c r="B141" s="44"/>
      <c r="C141" s="45"/>
      <c r="D141" s="45"/>
      <c r="E141" s="45"/>
      <c r="F141" s="45"/>
      <c r="G141" s="45"/>
      <c r="H141" s="45"/>
      <c r="I141" s="44"/>
      <c r="J141" s="44"/>
      <c r="K141" s="48"/>
      <c r="L141" s="38"/>
      <c r="M141" s="44"/>
      <c r="N141" s="44"/>
      <c r="O141" s="44"/>
      <c r="P141" s="44"/>
      <c r="Q141" s="44"/>
      <c r="R141" s="44"/>
      <c r="S141" s="44"/>
    </row>
    <row r="142" spans="1:19">
      <c r="A142" s="41"/>
      <c r="B142" s="44"/>
      <c r="C142" s="45"/>
      <c r="D142" s="45"/>
      <c r="E142" s="45"/>
      <c r="F142" s="45"/>
      <c r="G142" s="45"/>
      <c r="H142" s="45"/>
      <c r="I142" s="44"/>
      <c r="J142" s="44"/>
      <c r="K142" s="48"/>
      <c r="L142" s="38"/>
      <c r="M142" s="44"/>
      <c r="N142" s="44"/>
      <c r="O142" s="44"/>
      <c r="P142" s="44"/>
      <c r="Q142" s="44"/>
      <c r="R142" s="44"/>
      <c r="S142" s="44"/>
    </row>
    <row r="143" spans="1:19">
      <c r="A143" s="41"/>
      <c r="B143" s="44"/>
      <c r="C143" s="45"/>
      <c r="D143" s="45"/>
      <c r="E143" s="45"/>
      <c r="F143" s="45"/>
      <c r="G143" s="45"/>
      <c r="H143" s="45"/>
      <c r="I143" s="44"/>
      <c r="J143" s="44"/>
      <c r="K143" s="48"/>
      <c r="L143" s="38"/>
      <c r="M143" s="44"/>
      <c r="N143" s="44"/>
      <c r="O143" s="44"/>
      <c r="P143" s="44"/>
      <c r="Q143" s="44"/>
      <c r="R143" s="44"/>
      <c r="S143" s="44"/>
    </row>
    <row r="144" spans="1:19">
      <c r="A144" s="41"/>
      <c r="B144" s="44"/>
      <c r="C144" s="45"/>
      <c r="D144" s="45"/>
      <c r="E144" s="45"/>
      <c r="F144" s="45"/>
      <c r="G144" s="45"/>
      <c r="H144" s="45"/>
      <c r="I144" s="44"/>
      <c r="J144" s="44"/>
      <c r="K144" s="48"/>
      <c r="L144" s="38"/>
      <c r="M144" s="44"/>
      <c r="N144" s="44"/>
      <c r="O144" s="44"/>
      <c r="P144" s="44"/>
      <c r="Q144" s="44"/>
      <c r="R144" s="44"/>
      <c r="S144" s="44"/>
    </row>
    <row r="145" spans="1:19">
      <c r="A145" s="41"/>
      <c r="B145" s="44"/>
      <c r="C145" s="45"/>
      <c r="D145" s="45"/>
      <c r="E145" s="45"/>
      <c r="F145" s="45"/>
      <c r="G145" s="45"/>
      <c r="H145" s="45"/>
      <c r="I145" s="44"/>
      <c r="J145" s="44"/>
      <c r="K145" s="48"/>
      <c r="L145" s="38"/>
      <c r="M145" s="44"/>
      <c r="N145" s="44"/>
      <c r="O145" s="44"/>
      <c r="P145" s="44"/>
      <c r="Q145" s="44"/>
      <c r="R145" s="44"/>
      <c r="S145" s="44"/>
    </row>
    <row r="146" spans="1:19">
      <c r="A146" s="41"/>
      <c r="B146" s="44"/>
      <c r="C146" s="45"/>
      <c r="D146" s="45"/>
      <c r="E146" s="45"/>
      <c r="F146" s="45"/>
      <c r="G146" s="45"/>
      <c r="H146" s="45"/>
      <c r="I146" s="44"/>
      <c r="J146" s="44"/>
      <c r="K146" s="48"/>
      <c r="L146" s="38"/>
      <c r="M146" s="44"/>
      <c r="N146" s="44"/>
      <c r="O146" s="44"/>
      <c r="P146" s="44"/>
      <c r="Q146" s="44"/>
      <c r="R146" s="44"/>
      <c r="S146" s="44"/>
    </row>
    <row r="147" spans="1:19">
      <c r="A147" s="41"/>
      <c r="B147" s="44"/>
      <c r="C147" s="45"/>
      <c r="D147" s="45"/>
      <c r="E147" s="45"/>
      <c r="F147" s="45"/>
      <c r="G147" s="45"/>
      <c r="H147" s="45"/>
      <c r="I147" s="44"/>
      <c r="J147" s="44"/>
      <c r="K147" s="48"/>
      <c r="L147" s="38"/>
      <c r="M147" s="44"/>
      <c r="N147" s="44"/>
      <c r="O147" s="44"/>
      <c r="P147" s="44"/>
      <c r="Q147" s="44"/>
      <c r="R147" s="44"/>
      <c r="S147" s="44"/>
    </row>
    <row r="148" spans="1:19">
      <c r="A148" s="41"/>
      <c r="B148" s="44"/>
      <c r="C148" s="45"/>
      <c r="L148" s="38"/>
    </row>
    <row r="149" spans="1:19">
      <c r="A149" s="41"/>
      <c r="B149" s="44"/>
      <c r="C149" s="45"/>
      <c r="D149" s="45"/>
      <c r="E149" s="45"/>
      <c r="F149" s="45"/>
      <c r="G149" s="45"/>
      <c r="H149" s="45"/>
      <c r="I149" s="44"/>
      <c r="J149" s="44"/>
      <c r="K149" s="48"/>
      <c r="L149" s="38"/>
      <c r="M149" s="44"/>
      <c r="N149" s="44"/>
      <c r="O149" s="44"/>
      <c r="P149" s="44"/>
      <c r="Q149" s="44"/>
      <c r="R149" s="44"/>
      <c r="S149" s="44"/>
    </row>
    <row r="150" spans="1:19">
      <c r="A150" s="41"/>
      <c r="B150" s="44"/>
      <c r="C150" s="45"/>
      <c r="D150" s="45"/>
      <c r="E150" s="45"/>
      <c r="F150" s="45"/>
      <c r="G150" s="45"/>
      <c r="H150" s="45"/>
      <c r="I150" s="44"/>
      <c r="J150" s="44"/>
      <c r="K150" s="48"/>
      <c r="L150" s="38"/>
      <c r="M150" s="44"/>
      <c r="N150" s="44"/>
      <c r="O150" s="44"/>
      <c r="P150" s="44"/>
      <c r="Q150" s="44"/>
      <c r="R150" s="44"/>
      <c r="S150" s="44"/>
    </row>
    <row r="151" spans="1:19">
      <c r="A151" s="41"/>
      <c r="B151" s="44"/>
      <c r="C151" s="45"/>
      <c r="D151" s="45"/>
      <c r="E151" s="45"/>
      <c r="F151" s="45"/>
      <c r="G151" s="45"/>
      <c r="H151" s="45"/>
      <c r="I151" s="44"/>
      <c r="J151" s="44"/>
      <c r="K151" s="48"/>
      <c r="L151" s="38"/>
      <c r="M151" s="44"/>
      <c r="N151" s="44"/>
      <c r="O151" s="44"/>
      <c r="P151" s="44"/>
      <c r="Q151" s="44"/>
      <c r="R151" s="44"/>
      <c r="S151" s="44"/>
    </row>
    <row r="152" spans="1:19">
      <c r="A152" s="41"/>
      <c r="B152" s="44"/>
      <c r="C152" s="45"/>
      <c r="D152" s="45"/>
      <c r="E152" s="45"/>
      <c r="F152" s="45"/>
      <c r="G152" s="45"/>
      <c r="H152" s="45"/>
      <c r="I152" s="44"/>
      <c r="J152" s="44"/>
      <c r="K152" s="48"/>
      <c r="L152" s="38"/>
      <c r="M152" s="44"/>
      <c r="N152" s="44"/>
      <c r="O152" s="44"/>
      <c r="P152" s="44"/>
      <c r="Q152" s="44"/>
      <c r="R152" s="44"/>
      <c r="S152" s="44"/>
    </row>
    <row r="153" spans="1:19">
      <c r="A153" s="41"/>
      <c r="B153" s="44"/>
      <c r="C153" s="45"/>
      <c r="D153" s="45"/>
      <c r="E153" s="45"/>
      <c r="F153" s="45"/>
      <c r="G153" s="45"/>
      <c r="H153" s="45"/>
      <c r="I153" s="44"/>
      <c r="J153" s="44"/>
      <c r="K153" s="48"/>
      <c r="L153" s="38"/>
      <c r="M153" s="44"/>
      <c r="N153" s="44"/>
      <c r="O153" s="44"/>
      <c r="P153" s="44"/>
      <c r="Q153" s="44"/>
      <c r="R153" s="44"/>
      <c r="S153" s="44"/>
    </row>
    <row r="154" spans="1:19">
      <c r="A154" s="41"/>
      <c r="B154" s="44"/>
      <c r="C154" s="45"/>
      <c r="D154" s="45"/>
      <c r="E154" s="45"/>
      <c r="F154" s="45"/>
      <c r="G154" s="45"/>
      <c r="H154" s="45"/>
      <c r="I154" s="44"/>
      <c r="J154" s="44"/>
      <c r="K154" s="48"/>
      <c r="L154" s="38"/>
      <c r="M154" s="44"/>
      <c r="N154" s="44"/>
      <c r="O154" s="44"/>
      <c r="P154" s="44"/>
      <c r="Q154" s="44"/>
      <c r="R154" s="44"/>
      <c r="S154" s="44"/>
    </row>
    <row r="155" spans="1:19">
      <c r="A155" s="41"/>
      <c r="B155" s="44"/>
      <c r="C155" s="45"/>
      <c r="D155" s="45"/>
      <c r="E155" s="45"/>
      <c r="F155" s="45"/>
      <c r="G155" s="45"/>
      <c r="H155" s="45"/>
      <c r="I155" s="44"/>
      <c r="J155" s="44"/>
      <c r="K155" s="48"/>
      <c r="L155" s="38"/>
      <c r="M155" s="44"/>
      <c r="N155" s="44"/>
      <c r="O155" s="44"/>
      <c r="P155" s="44"/>
      <c r="Q155" s="44"/>
      <c r="R155" s="44"/>
      <c r="S155" s="44"/>
    </row>
    <row r="156" spans="1:19">
      <c r="A156" s="41"/>
      <c r="B156" s="44"/>
      <c r="C156" s="45"/>
      <c r="D156" s="45"/>
      <c r="E156" s="45"/>
      <c r="F156" s="45"/>
      <c r="G156" s="45"/>
      <c r="H156" s="45"/>
      <c r="I156" s="44"/>
      <c r="J156" s="44"/>
      <c r="K156" s="48"/>
      <c r="L156" s="38"/>
      <c r="M156" s="44"/>
      <c r="N156" s="44"/>
      <c r="O156" s="44"/>
      <c r="P156" s="44"/>
      <c r="Q156" s="44"/>
      <c r="R156" s="44"/>
      <c r="S156" s="44"/>
    </row>
    <row r="157" spans="1:19">
      <c r="A157" s="41"/>
      <c r="B157" s="44"/>
      <c r="C157" s="45"/>
      <c r="D157" s="45"/>
      <c r="E157" s="45"/>
      <c r="F157" s="45"/>
      <c r="G157" s="45"/>
      <c r="H157" s="45"/>
      <c r="I157" s="44"/>
      <c r="J157" s="44"/>
      <c r="K157" s="48"/>
      <c r="L157" s="38"/>
      <c r="M157" s="44"/>
      <c r="N157" s="44"/>
      <c r="O157" s="44"/>
      <c r="P157" s="44"/>
      <c r="Q157" s="44"/>
      <c r="R157" s="44"/>
      <c r="S157" s="44"/>
    </row>
    <row r="158" spans="1:19">
      <c r="A158" s="41"/>
      <c r="B158" s="44"/>
      <c r="C158" s="45"/>
      <c r="D158" s="45"/>
      <c r="E158" s="45"/>
      <c r="F158" s="45"/>
      <c r="G158" s="45"/>
      <c r="H158" s="45"/>
      <c r="I158" s="44"/>
      <c r="J158" s="44"/>
      <c r="K158" s="48"/>
      <c r="L158" s="38"/>
      <c r="M158" s="44"/>
      <c r="N158" s="44"/>
      <c r="O158" s="44"/>
      <c r="P158" s="44"/>
      <c r="Q158" s="44"/>
      <c r="R158" s="44"/>
      <c r="S158" s="44"/>
    </row>
    <row r="159" spans="1:19">
      <c r="A159" s="41"/>
      <c r="B159" s="44"/>
      <c r="C159" s="45"/>
      <c r="D159" s="45"/>
      <c r="E159" s="45"/>
      <c r="F159" s="45"/>
      <c r="G159" s="45"/>
      <c r="H159" s="45"/>
      <c r="I159" s="44"/>
      <c r="J159" s="44"/>
      <c r="K159" s="48"/>
      <c r="L159" s="38"/>
      <c r="M159" s="44"/>
      <c r="N159" s="44"/>
      <c r="O159" s="44"/>
      <c r="P159" s="44"/>
      <c r="Q159" s="44"/>
      <c r="R159" s="44"/>
      <c r="S159" s="44"/>
    </row>
    <row r="160" spans="1:19">
      <c r="A160" s="41"/>
      <c r="B160" s="44"/>
      <c r="C160" s="45"/>
      <c r="D160" s="45"/>
      <c r="E160" s="45"/>
      <c r="F160" s="45"/>
      <c r="G160" s="45"/>
      <c r="H160" s="45"/>
      <c r="I160" s="44"/>
      <c r="J160" s="44"/>
      <c r="K160" s="48"/>
      <c r="L160" s="38"/>
      <c r="M160" s="44"/>
      <c r="N160" s="44"/>
      <c r="O160" s="44"/>
      <c r="P160" s="44"/>
      <c r="Q160" s="44"/>
      <c r="R160" s="44"/>
      <c r="S160" s="44"/>
    </row>
    <row r="161" spans="1:19">
      <c r="A161" s="41"/>
      <c r="B161" s="44"/>
      <c r="C161" s="45"/>
      <c r="D161" s="45"/>
      <c r="E161" s="45"/>
      <c r="F161" s="45"/>
      <c r="G161" s="45"/>
      <c r="H161" s="45"/>
      <c r="I161" s="44"/>
      <c r="K161" s="48"/>
      <c r="L161" s="38"/>
      <c r="M161" s="44"/>
      <c r="N161" s="44"/>
      <c r="O161" s="44"/>
      <c r="P161" s="44"/>
      <c r="Q161" s="44"/>
      <c r="R161" s="44"/>
      <c r="S161" s="44"/>
    </row>
  </sheetData>
  <mergeCells count="8">
    <mergeCell ref="A62:A73"/>
    <mergeCell ref="A74:A85"/>
    <mergeCell ref="A86:A97"/>
    <mergeCell ref="A98:A110"/>
    <mergeCell ref="A111:A122"/>
    <mergeCell ref="A123:A135"/>
    <mergeCell ref="A136:A148"/>
    <mergeCell ref="A149:A161"/>
  </mergeCells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0"/>
  <sheetViews>
    <sheetView workbookViewId="0">
      <selection activeCell="P5" sqref="P5"/>
    </sheetView>
  </sheetViews>
  <sheetFormatPr defaultColWidth="9" defaultRowHeight="13.85"/>
  <cols>
    <col min="1" max="1" width="29.0088495575221" style="2" customWidth="1"/>
    <col min="2" max="2" width="9" style="2"/>
    <col min="3" max="3" width="14.9380530973451" style="2" customWidth="1"/>
    <col min="4" max="4" width="16.6017699115044" style="2" customWidth="1"/>
    <col min="5" max="5" width="16.7256637168142" style="2" customWidth="1"/>
    <col min="6" max="6" width="13.283185840708" style="2" customWidth="1"/>
    <col min="7" max="7" width="9" style="2"/>
    <col min="8" max="8" width="17.929203539823" style="2" customWidth="1"/>
    <col min="9" max="9" width="19.1858407079646" style="2" customWidth="1"/>
    <col min="10" max="10" width="16.4690265486726" style="2" customWidth="1"/>
    <col min="11" max="11" width="20.7787610619469" style="2" customWidth="1"/>
    <col min="12" max="12" width="14.8053097345133" style="2" customWidth="1"/>
    <col min="13" max="13" width="15.212389380531" style="2" customWidth="1"/>
    <col min="14" max="16384" width="9" style="2"/>
  </cols>
  <sheetData>
    <row r="1" s="16" customFormat="1" spans="1:15">
      <c r="A1" s="17" t="s">
        <v>158</v>
      </c>
      <c r="B1" s="18" t="s">
        <v>159</v>
      </c>
      <c r="C1" s="18" t="s">
        <v>160</v>
      </c>
      <c r="D1" s="19" t="s">
        <v>92</v>
      </c>
      <c r="E1" s="20" t="s">
        <v>12</v>
      </c>
      <c r="F1" s="21" t="s">
        <v>16</v>
      </c>
      <c r="G1" s="21" t="s">
        <v>161</v>
      </c>
      <c r="H1" s="21" t="s">
        <v>162</v>
      </c>
      <c r="I1" s="21" t="s">
        <v>163</v>
      </c>
      <c r="J1" s="21" t="s">
        <v>164</v>
      </c>
      <c r="K1" s="21" t="s">
        <v>165</v>
      </c>
      <c r="L1" s="21" t="s">
        <v>95</v>
      </c>
      <c r="M1" s="21" t="s">
        <v>166</v>
      </c>
      <c r="N1" s="21" t="s">
        <v>167</v>
      </c>
      <c r="O1" s="22" t="s">
        <v>20</v>
      </c>
    </row>
    <row r="2" spans="1:15">
      <c r="A2" s="23" t="s">
        <v>168</v>
      </c>
      <c r="B2" s="24" t="s">
        <v>169</v>
      </c>
      <c r="C2" s="24">
        <v>4.8</v>
      </c>
      <c r="D2" s="25">
        <v>7.61462439202</v>
      </c>
      <c r="E2" s="26">
        <f>(C2*D2)/22.5</f>
        <v>1.62445320363093</v>
      </c>
      <c r="F2" s="27">
        <v>1.3</v>
      </c>
      <c r="G2" s="27">
        <v>1.8</v>
      </c>
      <c r="H2" s="27">
        <v>6.68</v>
      </c>
      <c r="I2" s="27">
        <v>3.67</v>
      </c>
      <c r="J2" s="27">
        <v>1.15</v>
      </c>
      <c r="K2" s="27">
        <v>0.62</v>
      </c>
      <c r="L2" s="27">
        <v>4.22</v>
      </c>
      <c r="M2" s="27">
        <v>2.45</v>
      </c>
      <c r="N2" s="27">
        <v>1.11</v>
      </c>
      <c r="O2" s="2">
        <v>0.05</v>
      </c>
    </row>
    <row r="3" spans="1:15">
      <c r="A3" s="28"/>
      <c r="B3" s="24" t="s">
        <v>170</v>
      </c>
      <c r="C3" s="24">
        <v>3.3</v>
      </c>
      <c r="D3" s="25">
        <v>7.26272640927998</v>
      </c>
      <c r="E3" s="26">
        <f>(C3*D3)/22.5</f>
        <v>1.06519987336106</v>
      </c>
      <c r="F3" s="27">
        <v>1.11</v>
      </c>
      <c r="G3" s="27">
        <v>4.98</v>
      </c>
      <c r="H3" s="27">
        <v>0</v>
      </c>
      <c r="I3" s="27">
        <v>2.57</v>
      </c>
      <c r="J3" s="27">
        <v>0.79</v>
      </c>
      <c r="K3" s="27">
        <v>0.85</v>
      </c>
      <c r="L3" s="27">
        <v>2.48</v>
      </c>
      <c r="M3" s="27">
        <v>3.11</v>
      </c>
      <c r="N3" s="27">
        <v>1.09</v>
      </c>
      <c r="O3" s="2">
        <v>0.35</v>
      </c>
    </row>
    <row r="4" spans="1:15">
      <c r="A4" s="28"/>
      <c r="B4" s="24" t="s">
        <v>171</v>
      </c>
      <c r="C4" s="24">
        <v>4.4</v>
      </c>
      <c r="D4" s="25">
        <v>7.208</v>
      </c>
      <c r="E4" s="26">
        <f>(C4*D4)/22.5</f>
        <v>1.40956444444444</v>
      </c>
      <c r="F4" s="27">
        <v>1.19</v>
      </c>
      <c r="G4" s="27">
        <v>1.71</v>
      </c>
      <c r="H4" s="27">
        <v>6.64</v>
      </c>
      <c r="I4" s="27">
        <v>2.52</v>
      </c>
      <c r="J4" s="27">
        <v>0.96</v>
      </c>
      <c r="K4" s="27">
        <v>1.22</v>
      </c>
      <c r="L4" s="27">
        <v>2.45</v>
      </c>
      <c r="M4" s="27">
        <v>1.12</v>
      </c>
      <c r="N4" s="27">
        <v>1.12</v>
      </c>
      <c r="O4" s="2">
        <v>0.09</v>
      </c>
    </row>
    <row r="5" spans="1:15">
      <c r="A5" s="28"/>
      <c r="B5" s="24" t="s">
        <v>172</v>
      </c>
      <c r="C5" s="24">
        <v>4.3</v>
      </c>
      <c r="D5" s="25">
        <v>26.924</v>
      </c>
      <c r="E5" s="26">
        <f>(C5*D5)/22.5</f>
        <v>5.14547555555555</v>
      </c>
      <c r="F5" s="27">
        <v>1.29</v>
      </c>
      <c r="G5" s="27">
        <v>1.73</v>
      </c>
      <c r="H5" s="27">
        <v>0</v>
      </c>
      <c r="I5" s="27">
        <v>1.87</v>
      </c>
      <c r="J5" s="27">
        <v>1.09</v>
      </c>
      <c r="K5" s="27">
        <v>0.8</v>
      </c>
      <c r="L5" s="27">
        <v>2.17</v>
      </c>
      <c r="M5" s="27">
        <v>1.73</v>
      </c>
      <c r="N5" s="27">
        <v>1.05</v>
      </c>
      <c r="O5" s="2">
        <v>0.11</v>
      </c>
    </row>
    <row r="6" spans="1:15">
      <c r="A6" s="28"/>
      <c r="B6" s="24" t="s">
        <v>173</v>
      </c>
      <c r="C6" s="24">
        <v>6.5</v>
      </c>
      <c r="D6" s="25">
        <v>1.22075270151997</v>
      </c>
      <c r="E6" s="26">
        <f>(C6*D6)/22.5</f>
        <v>0.352661891550214</v>
      </c>
      <c r="F6" s="27">
        <v>0.99</v>
      </c>
      <c r="G6" s="27">
        <v>1.29</v>
      </c>
      <c r="H6" s="27">
        <v>0</v>
      </c>
      <c r="I6" s="27">
        <v>2.65</v>
      </c>
      <c r="J6" s="27">
        <v>1</v>
      </c>
      <c r="K6" s="27">
        <v>2.23</v>
      </c>
      <c r="L6" s="27">
        <v>4.1</v>
      </c>
      <c r="M6" s="27">
        <v>2.27</v>
      </c>
      <c r="N6" s="27">
        <v>1.16</v>
      </c>
      <c r="O6" s="2">
        <v>0.22</v>
      </c>
    </row>
    <row r="7" spans="1:15">
      <c r="A7" s="28"/>
      <c r="B7" s="24" t="s">
        <v>174</v>
      </c>
      <c r="C7" s="24">
        <v>4.7</v>
      </c>
      <c r="D7" s="25">
        <v>1.61798201249997</v>
      </c>
      <c r="E7" s="26">
        <f>(C7*D7)/22.5</f>
        <v>0.337978464833327</v>
      </c>
      <c r="F7" s="27">
        <v>1.33</v>
      </c>
      <c r="G7" s="27">
        <v>2.96</v>
      </c>
      <c r="H7" s="27">
        <v>0</v>
      </c>
      <c r="I7" s="27">
        <v>2.48</v>
      </c>
      <c r="J7" s="27">
        <v>0.88</v>
      </c>
      <c r="K7" s="27">
        <v>17.79</v>
      </c>
      <c r="L7" s="27">
        <v>1.99</v>
      </c>
      <c r="M7" s="27">
        <v>1.37</v>
      </c>
      <c r="N7" s="27">
        <v>1.09</v>
      </c>
      <c r="O7" s="2">
        <v>0.1</v>
      </c>
    </row>
    <row r="8" spans="1:15">
      <c r="A8" s="28"/>
      <c r="B8" s="24" t="s">
        <v>175</v>
      </c>
      <c r="C8" s="24">
        <v>4.8</v>
      </c>
      <c r="D8" s="25">
        <v>1.32391342049999</v>
      </c>
      <c r="E8" s="26">
        <f>(C8*D8)/22.5</f>
        <v>0.282434863039998</v>
      </c>
      <c r="F8" s="27">
        <v>1.62</v>
      </c>
      <c r="G8" s="27">
        <v>2.16</v>
      </c>
      <c r="H8" s="27">
        <v>0</v>
      </c>
      <c r="I8" s="27">
        <v>4.87</v>
      </c>
      <c r="J8" s="27">
        <v>0.99</v>
      </c>
      <c r="K8" s="27">
        <v>1.11</v>
      </c>
      <c r="L8" s="27">
        <v>2.85</v>
      </c>
      <c r="M8" s="27">
        <v>1.06</v>
      </c>
      <c r="N8" s="27">
        <v>1.15</v>
      </c>
      <c r="O8" s="2">
        <v>0.09</v>
      </c>
    </row>
    <row r="9" spans="1:15">
      <c r="A9" s="28"/>
      <c r="B9" s="24" t="s">
        <v>176</v>
      </c>
      <c r="C9" s="24">
        <v>4.7</v>
      </c>
      <c r="D9" s="25">
        <v>16.43398521522</v>
      </c>
      <c r="E9" s="26">
        <f>(C9*D9)/22.5</f>
        <v>3.43287691162373</v>
      </c>
      <c r="F9" s="27">
        <v>1.18</v>
      </c>
      <c r="G9" s="27">
        <v>1.18</v>
      </c>
      <c r="H9" s="27">
        <v>0</v>
      </c>
      <c r="I9" s="27">
        <v>2.07</v>
      </c>
      <c r="J9" s="27">
        <v>1.05</v>
      </c>
      <c r="K9" s="27">
        <v>0.52</v>
      </c>
      <c r="L9" s="27">
        <v>1.58</v>
      </c>
      <c r="M9" s="27">
        <v>0.89</v>
      </c>
      <c r="N9" s="27">
        <v>0.99</v>
      </c>
      <c r="O9" s="2">
        <v>0.06</v>
      </c>
    </row>
    <row r="10" spans="1:15">
      <c r="A10" s="28"/>
      <c r="B10" s="24" t="s">
        <v>177</v>
      </c>
      <c r="C10" s="24">
        <v>5.6</v>
      </c>
      <c r="D10" s="25">
        <v>26.89138552992</v>
      </c>
      <c r="E10" s="26">
        <f>(C10*D10)/22.5</f>
        <v>6.69296706522453</v>
      </c>
      <c r="F10" s="27">
        <v>0.92</v>
      </c>
      <c r="G10" s="27">
        <v>5.99</v>
      </c>
      <c r="H10" s="27">
        <v>0</v>
      </c>
      <c r="I10" s="27">
        <v>6.24</v>
      </c>
      <c r="J10" s="27">
        <v>0.86</v>
      </c>
      <c r="K10" s="27">
        <v>1.04</v>
      </c>
      <c r="L10" s="27">
        <v>2.14</v>
      </c>
      <c r="M10" s="27">
        <v>0.97</v>
      </c>
      <c r="N10" s="27">
        <v>1.08</v>
      </c>
      <c r="O10" s="2">
        <v>0.18</v>
      </c>
    </row>
    <row r="11" spans="1:15">
      <c r="A11" s="28"/>
      <c r="B11" s="24" t="s">
        <v>178</v>
      </c>
      <c r="C11" s="24">
        <v>6.2</v>
      </c>
      <c r="D11" s="25">
        <v>49.74576335368</v>
      </c>
      <c r="E11" s="26">
        <f>(C11*D11)/22.5</f>
        <v>13.7077214574585</v>
      </c>
      <c r="F11" s="27">
        <v>1.3</v>
      </c>
      <c r="G11" s="27">
        <v>2.9</v>
      </c>
      <c r="H11" s="27">
        <v>0</v>
      </c>
      <c r="I11" s="27">
        <v>15.7</v>
      </c>
      <c r="J11" s="27">
        <v>1.03</v>
      </c>
      <c r="K11" s="27">
        <v>2.18</v>
      </c>
      <c r="L11" s="27">
        <v>4.5</v>
      </c>
      <c r="M11" s="27">
        <v>15.87</v>
      </c>
      <c r="N11" s="27">
        <v>1.08</v>
      </c>
      <c r="O11" s="2">
        <v>0.09</v>
      </c>
    </row>
    <row r="12" spans="1:15">
      <c r="A12" s="28"/>
      <c r="B12" s="24" t="s">
        <v>179</v>
      </c>
      <c r="C12" s="24">
        <v>5.4</v>
      </c>
      <c r="D12" s="25">
        <v>14.08600229248</v>
      </c>
      <c r="E12" s="26">
        <f>(C12*D12)/22.5</f>
        <v>3.3806405501952</v>
      </c>
      <c r="F12" s="27">
        <v>1.82</v>
      </c>
      <c r="G12" s="27">
        <v>5.72</v>
      </c>
      <c r="H12" s="27">
        <v>3.94</v>
      </c>
      <c r="I12" s="27">
        <v>6.44</v>
      </c>
      <c r="J12" s="27">
        <v>1.02</v>
      </c>
      <c r="K12" s="27">
        <v>1.59</v>
      </c>
      <c r="L12" s="27">
        <v>2.74</v>
      </c>
      <c r="M12" s="27">
        <v>1.4</v>
      </c>
      <c r="N12" s="27">
        <v>1.23</v>
      </c>
      <c r="O12" s="2">
        <v>0.18</v>
      </c>
    </row>
    <row r="13" spans="1:15">
      <c r="A13" s="28"/>
      <c r="B13" s="24" t="s">
        <v>180</v>
      </c>
      <c r="C13" s="24">
        <v>4.2</v>
      </c>
      <c r="D13" s="25">
        <v>3.64965230472</v>
      </c>
      <c r="E13" s="26">
        <f>(C13*D13)/22.5</f>
        <v>0.6812684302144</v>
      </c>
      <c r="F13" s="27">
        <v>1.52</v>
      </c>
      <c r="G13" s="27">
        <v>2.74</v>
      </c>
      <c r="H13" s="27">
        <v>12.1</v>
      </c>
      <c r="I13" s="27">
        <v>2.29</v>
      </c>
      <c r="J13" s="27">
        <v>1.11</v>
      </c>
      <c r="K13" s="27">
        <v>1.44</v>
      </c>
      <c r="L13" s="27">
        <v>3.38</v>
      </c>
      <c r="M13" s="27">
        <v>1.55</v>
      </c>
      <c r="N13" s="27">
        <v>1.65</v>
      </c>
      <c r="O13" s="2">
        <v>0.12</v>
      </c>
    </row>
    <row r="14" spans="1:15">
      <c r="A14" s="28" t="s">
        <v>98</v>
      </c>
      <c r="B14" s="24" t="s">
        <v>181</v>
      </c>
      <c r="C14" s="24">
        <v>5</v>
      </c>
      <c r="D14" s="29">
        <v>1.37163204999997</v>
      </c>
      <c r="E14" s="26">
        <f>(C14*D14)/22.5</f>
        <v>0.304807122222216</v>
      </c>
      <c r="F14" s="27">
        <v>1.12</v>
      </c>
      <c r="G14" s="27">
        <v>4</v>
      </c>
      <c r="H14" s="27">
        <v>0</v>
      </c>
      <c r="I14" s="27">
        <v>2.42</v>
      </c>
      <c r="J14" s="27">
        <v>1.1</v>
      </c>
      <c r="K14" s="27">
        <v>0.96</v>
      </c>
      <c r="L14" s="27">
        <v>1.92</v>
      </c>
      <c r="M14" s="27">
        <v>1.2</v>
      </c>
      <c r="N14" s="27">
        <v>1.22</v>
      </c>
      <c r="O14" s="2">
        <v>0.09</v>
      </c>
    </row>
    <row r="15" spans="1:15">
      <c r="A15" s="28"/>
      <c r="B15" s="24" t="s">
        <v>182</v>
      </c>
      <c r="C15" s="24">
        <v>3.4</v>
      </c>
      <c r="D15" s="29">
        <v>3.90924212178</v>
      </c>
      <c r="E15" s="26">
        <f>(C15*D15)/22.5</f>
        <v>0.590729920624533</v>
      </c>
      <c r="F15" s="27">
        <v>1.44</v>
      </c>
      <c r="G15" s="27">
        <v>3.33</v>
      </c>
      <c r="H15" s="27">
        <v>7.38</v>
      </c>
      <c r="I15" s="27">
        <v>3.48</v>
      </c>
      <c r="J15" s="27">
        <v>0.95</v>
      </c>
      <c r="K15" s="27">
        <v>2.69</v>
      </c>
      <c r="L15" s="27">
        <v>2.51</v>
      </c>
      <c r="M15" s="27">
        <v>1.24</v>
      </c>
      <c r="N15" s="27">
        <v>1.09</v>
      </c>
      <c r="O15" s="2">
        <v>0.22</v>
      </c>
    </row>
    <row r="16" spans="1:15">
      <c r="A16" s="28"/>
      <c r="B16" s="24" t="s">
        <v>183</v>
      </c>
      <c r="C16" s="24">
        <v>3.2</v>
      </c>
      <c r="D16" s="29">
        <v>14.31058767778</v>
      </c>
      <c r="E16" s="26">
        <f>(C16*D16)/22.5</f>
        <v>2.03528358083982</v>
      </c>
      <c r="F16" s="27">
        <v>0.96</v>
      </c>
      <c r="G16" s="27">
        <v>1.57</v>
      </c>
      <c r="H16" s="27">
        <v>0</v>
      </c>
      <c r="I16" s="27">
        <v>2.51</v>
      </c>
      <c r="J16" s="27">
        <v>0.97</v>
      </c>
      <c r="K16" s="27">
        <v>1.01</v>
      </c>
      <c r="L16" s="27">
        <v>2.75</v>
      </c>
      <c r="M16" s="27">
        <v>1.62</v>
      </c>
      <c r="N16" s="27">
        <v>1.05</v>
      </c>
      <c r="O16" s="2">
        <v>0.08</v>
      </c>
    </row>
    <row r="17" spans="1:15">
      <c r="A17" s="28"/>
      <c r="B17" s="24" t="s">
        <v>184</v>
      </c>
      <c r="C17" s="24">
        <v>5.2</v>
      </c>
      <c r="D17" s="29">
        <v>1.41017928071996</v>
      </c>
      <c r="E17" s="26">
        <f>(C17*D17)/22.5</f>
        <v>0.325908100433057</v>
      </c>
      <c r="F17" s="27">
        <v>1.26</v>
      </c>
      <c r="G17" s="27">
        <v>1.41</v>
      </c>
      <c r="H17" s="27">
        <v>0</v>
      </c>
      <c r="I17" s="27">
        <v>2.51</v>
      </c>
      <c r="J17" s="27">
        <v>1.04</v>
      </c>
      <c r="K17" s="27">
        <v>0.97</v>
      </c>
      <c r="L17" s="27">
        <v>2.97</v>
      </c>
      <c r="M17" s="27">
        <v>1.53</v>
      </c>
      <c r="N17" s="27">
        <v>1.13</v>
      </c>
      <c r="O17" s="2">
        <v>0.07</v>
      </c>
    </row>
    <row r="18" spans="1:15">
      <c r="A18" s="28"/>
      <c r="B18" s="24" t="s">
        <v>185</v>
      </c>
      <c r="C18" s="24">
        <v>3.1</v>
      </c>
      <c r="D18" s="29">
        <v>5.76331706631998</v>
      </c>
      <c r="E18" s="26">
        <f>(C18*D18)/22.5</f>
        <v>0.794057018026308</v>
      </c>
      <c r="F18" s="27">
        <v>0.96</v>
      </c>
      <c r="G18" s="27">
        <v>1.11</v>
      </c>
      <c r="H18" s="27">
        <v>0</v>
      </c>
      <c r="I18" s="27">
        <v>7.71</v>
      </c>
      <c r="J18" s="27">
        <v>1.14</v>
      </c>
      <c r="K18" s="27">
        <v>1.08</v>
      </c>
      <c r="L18" s="27">
        <v>1.61</v>
      </c>
      <c r="M18" s="27">
        <v>1.31</v>
      </c>
      <c r="N18" s="27">
        <v>1.24</v>
      </c>
      <c r="O18" s="2">
        <v>0.12</v>
      </c>
    </row>
    <row r="19" spans="1:15">
      <c r="A19" s="28"/>
      <c r="B19" s="24" t="s">
        <v>186</v>
      </c>
      <c r="C19" s="24">
        <v>5.6</v>
      </c>
      <c r="D19" s="29">
        <v>4.27026056199996</v>
      </c>
      <c r="E19" s="26">
        <f>(C19*D19)/22.5</f>
        <v>1.06282040654221</v>
      </c>
      <c r="F19" s="27">
        <v>0.91</v>
      </c>
      <c r="G19" s="27">
        <v>1.26</v>
      </c>
      <c r="H19" s="27">
        <v>4.18</v>
      </c>
      <c r="I19" s="27">
        <v>2.3</v>
      </c>
      <c r="J19" s="27">
        <v>1.21</v>
      </c>
      <c r="K19" s="27">
        <v>1.68</v>
      </c>
      <c r="L19" s="27">
        <v>2.07</v>
      </c>
      <c r="M19" s="27">
        <v>1.06</v>
      </c>
      <c r="N19" s="27">
        <v>1.18</v>
      </c>
      <c r="O19" s="2">
        <v>0.03</v>
      </c>
    </row>
    <row r="20" spans="1:15">
      <c r="A20" s="28"/>
      <c r="B20" s="24" t="s">
        <v>187</v>
      </c>
      <c r="C20" s="24">
        <v>3.5</v>
      </c>
      <c r="D20" s="29">
        <v>11.93229940168</v>
      </c>
      <c r="E20" s="26">
        <f>(C20*D20)/22.5</f>
        <v>1.85613546248356</v>
      </c>
      <c r="F20" s="27">
        <v>0.99</v>
      </c>
      <c r="G20" s="27">
        <v>1.97</v>
      </c>
      <c r="H20" s="27">
        <v>0</v>
      </c>
      <c r="I20" s="27">
        <v>2.62</v>
      </c>
      <c r="J20" s="27">
        <v>1.04</v>
      </c>
      <c r="K20" s="27">
        <v>0.75</v>
      </c>
      <c r="L20" s="27">
        <v>2.95</v>
      </c>
      <c r="M20" s="27">
        <v>1.64</v>
      </c>
      <c r="N20" s="27">
        <v>1.2</v>
      </c>
      <c r="O20" s="2">
        <v>0.24</v>
      </c>
    </row>
    <row r="21" spans="1:15">
      <c r="A21" s="28"/>
      <c r="B21" s="24" t="s">
        <v>188</v>
      </c>
      <c r="C21" s="24">
        <v>2.1</v>
      </c>
      <c r="D21" s="29">
        <v>5.27625891712</v>
      </c>
      <c r="E21" s="26">
        <f>(C21*D21)/22.5</f>
        <v>0.492450832264533</v>
      </c>
      <c r="F21" s="27">
        <v>0.52</v>
      </c>
      <c r="G21" s="27">
        <v>1.37</v>
      </c>
      <c r="H21" s="27">
        <v>0</v>
      </c>
      <c r="I21" s="27">
        <v>2.25</v>
      </c>
      <c r="J21" s="27">
        <v>0.91</v>
      </c>
      <c r="K21" s="27">
        <v>0.05</v>
      </c>
      <c r="L21" s="27">
        <v>2.27</v>
      </c>
      <c r="M21" s="27">
        <v>0.8</v>
      </c>
      <c r="N21" s="27">
        <v>1.09</v>
      </c>
      <c r="O21" s="2">
        <v>0.03</v>
      </c>
    </row>
    <row r="22" spans="1:15">
      <c r="A22" s="28"/>
      <c r="B22" s="24" t="s">
        <v>189</v>
      </c>
      <c r="C22" s="24">
        <v>5</v>
      </c>
      <c r="D22" s="29">
        <v>16.43398521522</v>
      </c>
      <c r="E22" s="26">
        <f>(C22*D22)/22.5</f>
        <v>3.65199671449333</v>
      </c>
      <c r="F22" s="27">
        <v>0.96</v>
      </c>
      <c r="G22" s="27">
        <v>0.82</v>
      </c>
      <c r="H22" s="27">
        <v>0</v>
      </c>
      <c r="I22" s="27">
        <v>1.78</v>
      </c>
      <c r="J22" s="27">
        <v>0.88</v>
      </c>
      <c r="K22" s="27">
        <v>1.83</v>
      </c>
      <c r="L22" s="27">
        <v>2.37</v>
      </c>
      <c r="M22" s="27">
        <v>1.98</v>
      </c>
      <c r="N22" s="27">
        <v>1.1</v>
      </c>
      <c r="O22" s="2">
        <v>0.19</v>
      </c>
    </row>
    <row r="23" spans="1:15">
      <c r="A23" s="28"/>
      <c r="B23" s="24" t="s">
        <v>190</v>
      </c>
      <c r="C23" s="24">
        <v>3.7</v>
      </c>
      <c r="D23" s="29">
        <v>6.91829565378</v>
      </c>
      <c r="E23" s="26">
        <f>(C23*D23)/22.5</f>
        <v>1.13767528528827</v>
      </c>
      <c r="F23" s="27">
        <v>1.21</v>
      </c>
      <c r="G23" s="27">
        <v>1.07</v>
      </c>
      <c r="H23" s="27">
        <v>0.66</v>
      </c>
      <c r="I23" s="27">
        <v>2.17</v>
      </c>
      <c r="J23" s="27">
        <v>1.04</v>
      </c>
      <c r="K23" s="27">
        <v>1.37</v>
      </c>
      <c r="L23" s="27">
        <v>2.38</v>
      </c>
      <c r="M23" s="27">
        <v>2.04</v>
      </c>
      <c r="N23" s="27">
        <v>1.07</v>
      </c>
      <c r="O23" s="2">
        <v>0.13</v>
      </c>
    </row>
    <row r="24" spans="1:15">
      <c r="A24" s="28" t="s">
        <v>191</v>
      </c>
      <c r="B24" s="24" t="s">
        <v>192</v>
      </c>
      <c r="C24" s="24">
        <v>8.1</v>
      </c>
      <c r="D24" s="29">
        <v>6.74777951493125</v>
      </c>
      <c r="E24" s="26">
        <f t="shared" ref="E24:E64" si="0">(C24*D24)/22.5</f>
        <v>2.42920062537525</v>
      </c>
      <c r="F24" s="27">
        <v>0.84</v>
      </c>
      <c r="G24" s="27">
        <v>1.92</v>
      </c>
      <c r="H24" s="27">
        <v>0</v>
      </c>
      <c r="I24" s="27">
        <v>2.83</v>
      </c>
      <c r="J24" s="27">
        <v>1.18</v>
      </c>
      <c r="K24" s="27">
        <v>16.68</v>
      </c>
      <c r="L24" s="27">
        <v>3.59</v>
      </c>
      <c r="M24" s="27">
        <v>1.26</v>
      </c>
      <c r="N24" s="27">
        <v>1.17</v>
      </c>
      <c r="O24" s="2">
        <v>0.19</v>
      </c>
    </row>
    <row r="25" spans="1:15">
      <c r="A25" s="28"/>
      <c r="B25" s="24" t="s">
        <v>193</v>
      </c>
      <c r="C25" s="24">
        <v>5.3</v>
      </c>
      <c r="D25" s="29">
        <v>10.532342510725</v>
      </c>
      <c r="E25" s="26">
        <f t="shared" si="0"/>
        <v>2.48095179141522</v>
      </c>
      <c r="F25" s="27">
        <v>0.99</v>
      </c>
      <c r="G25" s="27">
        <v>1.99</v>
      </c>
      <c r="H25" s="27">
        <v>4.79</v>
      </c>
      <c r="I25" s="27">
        <v>11.76</v>
      </c>
      <c r="J25" s="27">
        <v>1.11</v>
      </c>
      <c r="K25" s="27">
        <v>1.61</v>
      </c>
      <c r="L25" s="27">
        <v>804.04</v>
      </c>
      <c r="M25" s="27">
        <v>10.06</v>
      </c>
      <c r="N25" s="27">
        <v>1.05</v>
      </c>
      <c r="O25" s="2">
        <v>0.24</v>
      </c>
    </row>
    <row r="26" spans="1:15">
      <c r="A26" s="28"/>
      <c r="B26" s="24" t="s">
        <v>194</v>
      </c>
      <c r="C26" s="24">
        <v>5.1</v>
      </c>
      <c r="D26" s="29">
        <v>9.584260581525</v>
      </c>
      <c r="E26" s="26">
        <f t="shared" si="0"/>
        <v>2.172432398479</v>
      </c>
      <c r="F26" s="27">
        <v>1.49</v>
      </c>
      <c r="G26" s="27">
        <v>2.79</v>
      </c>
      <c r="H26" s="27">
        <v>1.62</v>
      </c>
      <c r="I26" s="27">
        <v>10.91</v>
      </c>
      <c r="J26" s="27">
        <v>1.41</v>
      </c>
      <c r="K26" s="27">
        <v>14.62</v>
      </c>
      <c r="L26" s="27">
        <v>139.26</v>
      </c>
      <c r="M26" s="27">
        <v>4</v>
      </c>
      <c r="N26" s="27">
        <v>1.15</v>
      </c>
      <c r="O26" s="2">
        <v>0.05</v>
      </c>
    </row>
    <row r="27" spans="1:15">
      <c r="A27" s="28"/>
      <c r="B27" s="24" t="s">
        <v>195</v>
      </c>
      <c r="C27" s="24">
        <v>6.1</v>
      </c>
      <c r="D27" s="29">
        <v>13.555144435504</v>
      </c>
      <c r="E27" s="26">
        <f t="shared" si="0"/>
        <v>3.67495026918108</v>
      </c>
      <c r="F27" s="27">
        <v>1.58</v>
      </c>
      <c r="G27" s="27">
        <v>1.52</v>
      </c>
      <c r="H27" s="27">
        <v>0</v>
      </c>
      <c r="I27" s="27">
        <v>3.52</v>
      </c>
      <c r="J27" s="27">
        <v>1.31</v>
      </c>
      <c r="K27" s="27">
        <v>7.64</v>
      </c>
      <c r="L27" s="27">
        <v>120.62</v>
      </c>
      <c r="M27" s="27">
        <v>3.45</v>
      </c>
      <c r="N27" s="27">
        <v>1.56</v>
      </c>
      <c r="O27" s="2">
        <v>0.25</v>
      </c>
    </row>
    <row r="28" spans="1:15">
      <c r="A28" s="28"/>
      <c r="B28" s="24" t="s">
        <v>196</v>
      </c>
      <c r="C28" s="24">
        <v>3.2</v>
      </c>
      <c r="D28" s="29">
        <v>5.600283380976</v>
      </c>
      <c r="E28" s="26">
        <f t="shared" si="0"/>
        <v>0.796484747516587</v>
      </c>
      <c r="F28" s="27">
        <v>1.81</v>
      </c>
      <c r="G28" s="27">
        <v>0.91</v>
      </c>
      <c r="H28" s="27">
        <v>0</v>
      </c>
      <c r="I28" s="27">
        <v>13.47</v>
      </c>
      <c r="J28" s="27">
        <v>1.24</v>
      </c>
      <c r="K28" s="27">
        <v>1.7</v>
      </c>
      <c r="L28" s="27">
        <v>1190.16</v>
      </c>
      <c r="M28" s="27">
        <v>8.37</v>
      </c>
      <c r="N28" s="27">
        <v>1.13</v>
      </c>
      <c r="O28" s="2">
        <v>0.17</v>
      </c>
    </row>
    <row r="29" spans="1:15">
      <c r="A29" s="28"/>
      <c r="B29" s="24" t="s">
        <v>197</v>
      </c>
      <c r="C29" s="24">
        <v>7</v>
      </c>
      <c r="D29" s="29">
        <v>38.0236072875042</v>
      </c>
      <c r="E29" s="26">
        <f t="shared" si="0"/>
        <v>11.829566711668</v>
      </c>
      <c r="F29" s="27">
        <v>0.97</v>
      </c>
      <c r="G29" s="27">
        <v>1.9</v>
      </c>
      <c r="H29" s="27">
        <v>0</v>
      </c>
      <c r="I29" s="27">
        <v>12.87</v>
      </c>
      <c r="J29" s="27">
        <v>1.23</v>
      </c>
      <c r="K29" s="27">
        <v>1.68</v>
      </c>
      <c r="L29" s="27">
        <v>23.89</v>
      </c>
      <c r="M29" s="27">
        <v>1.1</v>
      </c>
      <c r="N29" s="27">
        <v>1.36</v>
      </c>
      <c r="O29" s="2">
        <v>0.45</v>
      </c>
    </row>
    <row r="30" spans="1:15">
      <c r="A30" s="28"/>
      <c r="B30" s="24" t="s">
        <v>198</v>
      </c>
      <c r="C30" s="24">
        <v>6.1</v>
      </c>
      <c r="D30" s="29">
        <v>23.4501337067827</v>
      </c>
      <c r="E30" s="26">
        <f t="shared" si="0"/>
        <v>6.35759180494998</v>
      </c>
      <c r="F30" s="27">
        <v>2.18</v>
      </c>
      <c r="G30" s="27">
        <v>1.14</v>
      </c>
      <c r="H30" s="27">
        <v>0.95</v>
      </c>
      <c r="I30" s="27">
        <v>11.8</v>
      </c>
      <c r="J30" s="27">
        <v>1.14</v>
      </c>
      <c r="K30" s="27">
        <v>1.54</v>
      </c>
      <c r="L30" s="27">
        <v>2.07</v>
      </c>
      <c r="M30" s="27">
        <v>1.42</v>
      </c>
      <c r="N30" s="27">
        <v>1.2</v>
      </c>
      <c r="O30" s="2">
        <v>0.31</v>
      </c>
    </row>
    <row r="31" spans="1:15">
      <c r="A31" s="28"/>
      <c r="B31" s="24" t="s">
        <v>199</v>
      </c>
      <c r="C31" s="24">
        <v>6.7</v>
      </c>
      <c r="D31" s="29">
        <v>15.336934631725</v>
      </c>
      <c r="E31" s="26">
        <f t="shared" si="0"/>
        <v>4.56699831255811</v>
      </c>
      <c r="F31" s="27">
        <v>1.2</v>
      </c>
      <c r="G31" s="27">
        <v>4.57</v>
      </c>
      <c r="H31" s="27">
        <v>2.58</v>
      </c>
      <c r="I31" s="27">
        <v>2.57</v>
      </c>
      <c r="J31" s="27">
        <v>1.49</v>
      </c>
      <c r="K31" s="27">
        <v>33.8</v>
      </c>
      <c r="L31" s="27">
        <v>2.36</v>
      </c>
      <c r="M31" s="27">
        <v>8.52</v>
      </c>
      <c r="N31" s="27">
        <v>1.17</v>
      </c>
      <c r="O31" s="2">
        <v>0.15</v>
      </c>
    </row>
    <row r="32" spans="1:15">
      <c r="A32" s="28"/>
      <c r="B32" s="24" t="s">
        <v>200</v>
      </c>
      <c r="C32" s="24">
        <v>5.4</v>
      </c>
      <c r="D32" s="29">
        <v>16.5998768471812</v>
      </c>
      <c r="E32" s="26">
        <f t="shared" si="0"/>
        <v>3.98397044332349</v>
      </c>
      <c r="F32" s="27">
        <v>1.47</v>
      </c>
      <c r="G32" s="27">
        <v>2.64</v>
      </c>
      <c r="H32" s="27">
        <v>7.08</v>
      </c>
      <c r="I32" s="27">
        <v>2.22</v>
      </c>
      <c r="J32" s="27">
        <v>1.44</v>
      </c>
      <c r="K32" s="27">
        <v>16.21</v>
      </c>
      <c r="L32" s="27">
        <v>1.99</v>
      </c>
      <c r="M32" s="27">
        <v>1.98</v>
      </c>
      <c r="N32" s="27">
        <v>3.28</v>
      </c>
      <c r="O32" s="2">
        <v>0.26</v>
      </c>
    </row>
    <row r="33" spans="1:15">
      <c r="A33" s="28"/>
      <c r="B33" s="24" t="s">
        <v>201</v>
      </c>
      <c r="C33" s="24">
        <v>5.5</v>
      </c>
      <c r="D33" s="29">
        <v>22.8326897949746</v>
      </c>
      <c r="E33" s="26">
        <f t="shared" si="0"/>
        <v>5.5813241721049</v>
      </c>
      <c r="F33" s="27">
        <v>1.29</v>
      </c>
      <c r="G33" s="27">
        <v>3.23</v>
      </c>
      <c r="H33" s="27">
        <v>0</v>
      </c>
      <c r="I33" s="27">
        <v>2.52</v>
      </c>
      <c r="J33" s="27">
        <v>1.14</v>
      </c>
      <c r="K33" s="27">
        <v>1.48</v>
      </c>
      <c r="L33" s="27">
        <v>1.18</v>
      </c>
      <c r="M33" s="27">
        <v>3.86</v>
      </c>
      <c r="N33" s="27">
        <v>1.32</v>
      </c>
      <c r="O33" s="2">
        <v>0.14</v>
      </c>
    </row>
    <row r="34" spans="1:15">
      <c r="A34" s="28"/>
      <c r="B34" s="24" t="s">
        <v>202</v>
      </c>
      <c r="C34" s="24">
        <v>4</v>
      </c>
      <c r="D34" s="29">
        <v>17.817693072109</v>
      </c>
      <c r="E34" s="26">
        <f t="shared" si="0"/>
        <v>3.16758987948604</v>
      </c>
      <c r="F34" s="27">
        <v>1.42</v>
      </c>
      <c r="G34" s="27">
        <v>1.26</v>
      </c>
      <c r="H34" s="27">
        <v>0</v>
      </c>
      <c r="I34" s="27">
        <v>2.76</v>
      </c>
      <c r="J34" s="27">
        <v>0.95</v>
      </c>
      <c r="K34" s="27">
        <v>1.5</v>
      </c>
      <c r="L34" s="27">
        <v>3.39</v>
      </c>
      <c r="M34" s="27">
        <v>1.45</v>
      </c>
      <c r="N34" s="27">
        <v>1.15</v>
      </c>
      <c r="O34" s="2">
        <v>0.63</v>
      </c>
    </row>
    <row r="35" spans="1:15">
      <c r="A35" s="28"/>
      <c r="B35" s="24" t="s">
        <v>203</v>
      </c>
      <c r="C35" s="24">
        <v>3.5</v>
      </c>
      <c r="D35" s="29">
        <v>14.193135088125</v>
      </c>
      <c r="E35" s="26">
        <f t="shared" si="0"/>
        <v>2.20782101370833</v>
      </c>
      <c r="F35" s="27">
        <v>1.94</v>
      </c>
      <c r="G35" s="27">
        <v>3.88</v>
      </c>
      <c r="H35" s="27">
        <v>10.53</v>
      </c>
      <c r="I35" s="27">
        <v>2.42</v>
      </c>
      <c r="J35" s="27">
        <v>1.27</v>
      </c>
      <c r="K35" s="27">
        <v>0.78</v>
      </c>
      <c r="L35" s="27">
        <v>2.41</v>
      </c>
      <c r="M35" s="27">
        <v>1.38</v>
      </c>
      <c r="N35" s="27">
        <v>1.19</v>
      </c>
      <c r="O35" s="2">
        <v>0.15</v>
      </c>
    </row>
    <row r="36" spans="1:15">
      <c r="A36" s="28" t="s">
        <v>204</v>
      </c>
      <c r="B36" s="24" t="s">
        <v>205</v>
      </c>
      <c r="C36" s="24">
        <v>6.3</v>
      </c>
      <c r="D36" s="29">
        <v>17.8443906912526</v>
      </c>
      <c r="E36" s="26">
        <f t="shared" si="0"/>
        <v>4.99642939355073</v>
      </c>
      <c r="F36" s="27">
        <v>18.6</v>
      </c>
      <c r="G36" s="27">
        <v>2.89</v>
      </c>
      <c r="H36" s="27">
        <v>25.05</v>
      </c>
      <c r="I36" s="27">
        <v>2.6</v>
      </c>
      <c r="J36" s="27">
        <v>1.41</v>
      </c>
      <c r="K36" s="27">
        <v>1.18</v>
      </c>
      <c r="L36" s="27">
        <v>5.63</v>
      </c>
      <c r="M36" s="27">
        <v>2.6</v>
      </c>
      <c r="N36" s="27">
        <v>1.29</v>
      </c>
      <c r="O36" s="2">
        <v>0.15</v>
      </c>
    </row>
    <row r="37" spans="1:15">
      <c r="A37" s="28"/>
      <c r="B37" s="24" t="s">
        <v>206</v>
      </c>
      <c r="C37" s="24">
        <v>5.5</v>
      </c>
      <c r="D37" s="29">
        <v>5.48349863338125</v>
      </c>
      <c r="E37" s="26">
        <f>(C37*D37)/22.5</f>
        <v>1.34041077704875</v>
      </c>
      <c r="F37" s="27">
        <v>2.31</v>
      </c>
      <c r="G37" s="27">
        <v>3.93</v>
      </c>
      <c r="H37" s="27">
        <v>19.13</v>
      </c>
      <c r="I37" s="27">
        <v>3.38</v>
      </c>
      <c r="J37" s="27">
        <v>1.29</v>
      </c>
      <c r="K37" s="27">
        <v>3.96</v>
      </c>
      <c r="L37" s="27">
        <v>4.27</v>
      </c>
      <c r="M37" s="27">
        <v>2.58</v>
      </c>
      <c r="N37" s="27">
        <v>1.69</v>
      </c>
      <c r="O37" s="2">
        <v>0.23</v>
      </c>
    </row>
    <row r="38" spans="1:15">
      <c r="A38" s="28"/>
      <c r="B38" s="24" t="s">
        <v>207</v>
      </c>
      <c r="C38" s="24">
        <v>5.9</v>
      </c>
      <c r="D38" s="29">
        <v>7.1713512626995</v>
      </c>
      <c r="E38" s="26">
        <f>(C38*D38)/22.5</f>
        <v>1.8804876644412</v>
      </c>
      <c r="F38" s="27">
        <v>1.84</v>
      </c>
      <c r="G38" s="27">
        <v>4.8</v>
      </c>
      <c r="H38" s="27">
        <v>25.93</v>
      </c>
      <c r="I38" s="27">
        <v>3.83</v>
      </c>
      <c r="J38" s="27">
        <v>1.63</v>
      </c>
      <c r="K38" s="27">
        <v>6.81</v>
      </c>
      <c r="L38" s="27">
        <v>7.08</v>
      </c>
      <c r="M38" s="27">
        <v>2.7</v>
      </c>
      <c r="N38" s="27">
        <v>1.51</v>
      </c>
      <c r="O38" s="2">
        <v>0.64</v>
      </c>
    </row>
    <row r="39" spans="1:15">
      <c r="A39" s="28"/>
      <c r="B39" s="24" t="s">
        <v>208</v>
      </c>
      <c r="C39" s="24">
        <v>4.6</v>
      </c>
      <c r="D39" s="29">
        <v>9.31443403192668</v>
      </c>
      <c r="E39" s="26">
        <f>(C39*D39)/22.5</f>
        <v>1.90428429097168</v>
      </c>
      <c r="F39" s="27">
        <v>4.67</v>
      </c>
      <c r="G39" s="27">
        <v>1.78</v>
      </c>
      <c r="H39" s="27">
        <v>34.13</v>
      </c>
      <c r="I39" s="27">
        <v>67.42</v>
      </c>
      <c r="J39" s="27">
        <v>2.58</v>
      </c>
      <c r="K39" s="27">
        <v>100.63</v>
      </c>
      <c r="L39" s="27">
        <v>105.1</v>
      </c>
      <c r="M39" s="27">
        <v>14.12</v>
      </c>
      <c r="N39" s="27">
        <v>4.17</v>
      </c>
      <c r="O39" s="2">
        <v>0.48</v>
      </c>
    </row>
    <row r="40" spans="1:15">
      <c r="A40" s="28"/>
      <c r="B40" s="24" t="s">
        <v>209</v>
      </c>
      <c r="C40" s="24">
        <v>7.9</v>
      </c>
      <c r="D40" s="29">
        <v>11.3435626896534</v>
      </c>
      <c r="E40" s="26">
        <f>(C40*D40)/22.5</f>
        <v>3.98285089992275</v>
      </c>
      <c r="F40" s="27">
        <v>1.89</v>
      </c>
      <c r="G40" s="27">
        <v>9.24</v>
      </c>
      <c r="H40" s="27">
        <v>12.92</v>
      </c>
      <c r="I40" s="27">
        <v>2.94</v>
      </c>
      <c r="J40" s="27">
        <v>1.38</v>
      </c>
      <c r="K40" s="27">
        <v>2.97</v>
      </c>
      <c r="L40" s="27">
        <v>2.53</v>
      </c>
      <c r="M40" s="27">
        <v>1.91</v>
      </c>
      <c r="N40" s="27">
        <v>1.35</v>
      </c>
      <c r="O40" s="2">
        <v>0.11</v>
      </c>
    </row>
    <row r="41" spans="1:15">
      <c r="A41" s="28"/>
      <c r="B41" s="24" t="s">
        <v>210</v>
      </c>
      <c r="C41" s="24">
        <v>7.5</v>
      </c>
      <c r="D41" s="29">
        <v>30.7556750788743</v>
      </c>
      <c r="E41" s="26">
        <f>(C41*D41)/22.5</f>
        <v>10.2518916929581</v>
      </c>
      <c r="F41" s="27">
        <v>0.94</v>
      </c>
      <c r="G41" s="27">
        <v>2.05</v>
      </c>
      <c r="H41" s="27">
        <v>5.07</v>
      </c>
      <c r="I41" s="27">
        <v>3.07</v>
      </c>
      <c r="J41" s="27">
        <v>1.07</v>
      </c>
      <c r="K41" s="27">
        <v>3.11</v>
      </c>
      <c r="L41" s="27">
        <v>2.93</v>
      </c>
      <c r="M41" s="27">
        <v>1.03</v>
      </c>
      <c r="N41" s="27">
        <v>1.18</v>
      </c>
      <c r="O41" s="2">
        <v>0.03</v>
      </c>
    </row>
    <row r="42" spans="1:15">
      <c r="A42" s="28"/>
      <c r="B42" s="24" t="s">
        <v>211</v>
      </c>
      <c r="C42" s="24">
        <v>6.6</v>
      </c>
      <c r="D42" s="29">
        <v>15.4102291714069</v>
      </c>
      <c r="E42" s="26">
        <f>(C42*D42)/22.5</f>
        <v>4.52033389027936</v>
      </c>
      <c r="F42" s="27">
        <v>1.84</v>
      </c>
      <c r="G42" s="27">
        <v>2.65</v>
      </c>
      <c r="H42" s="27">
        <v>21.34</v>
      </c>
      <c r="I42" s="27">
        <v>20.45</v>
      </c>
      <c r="J42" s="27">
        <v>0.68</v>
      </c>
      <c r="K42" s="27">
        <v>10.41</v>
      </c>
      <c r="L42" s="27">
        <v>39.52</v>
      </c>
      <c r="M42" s="27">
        <v>4.77</v>
      </c>
      <c r="N42" s="27">
        <v>2.95</v>
      </c>
      <c r="O42" s="2">
        <v>0.22</v>
      </c>
    </row>
    <row r="43" spans="1:15">
      <c r="A43" s="28"/>
      <c r="B43" s="24" t="s">
        <v>212</v>
      </c>
      <c r="C43" s="24">
        <v>4.6</v>
      </c>
      <c r="D43" s="29">
        <v>14.8554004060213</v>
      </c>
      <c r="E43" s="26">
        <f>(C43*D43)/22.5</f>
        <v>3.0371040830088</v>
      </c>
      <c r="F43" s="27">
        <v>1.27</v>
      </c>
      <c r="G43" s="27">
        <v>1.8</v>
      </c>
      <c r="H43" s="27">
        <v>0.94</v>
      </c>
      <c r="I43" s="27">
        <v>2.93</v>
      </c>
      <c r="J43" s="27">
        <v>1.08</v>
      </c>
      <c r="K43" s="27">
        <v>2.63</v>
      </c>
      <c r="L43" s="27">
        <v>1.62</v>
      </c>
      <c r="M43" s="27">
        <v>1.6</v>
      </c>
      <c r="N43" s="27">
        <v>1.34</v>
      </c>
      <c r="O43" s="2">
        <v>0.51</v>
      </c>
    </row>
    <row r="44" spans="1:15">
      <c r="A44" s="28"/>
      <c r="B44" s="24" t="s">
        <v>213</v>
      </c>
      <c r="C44" s="24">
        <v>5.6</v>
      </c>
      <c r="D44" s="29">
        <v>16.5833444611435</v>
      </c>
      <c r="E44" s="26">
        <f>(C44*D44)/22.5</f>
        <v>4.12741017699572</v>
      </c>
      <c r="F44" s="27">
        <v>1</v>
      </c>
      <c r="G44" s="27">
        <v>3.99</v>
      </c>
      <c r="H44" s="27">
        <v>7.58</v>
      </c>
      <c r="I44" s="27">
        <v>2.24</v>
      </c>
      <c r="J44" s="27">
        <v>1.29</v>
      </c>
      <c r="K44" s="27">
        <v>1.03</v>
      </c>
      <c r="L44" s="27">
        <v>13.22</v>
      </c>
      <c r="M44" s="27">
        <v>2.04</v>
      </c>
      <c r="N44" s="27">
        <v>1.29</v>
      </c>
      <c r="O44" s="2">
        <v>0.22</v>
      </c>
    </row>
    <row r="45" spans="1:15">
      <c r="A45" s="28" t="s">
        <v>214</v>
      </c>
      <c r="B45" s="24" t="s">
        <v>215</v>
      </c>
      <c r="C45" s="24">
        <v>4.3</v>
      </c>
      <c r="D45" s="29">
        <v>7.14145577372168</v>
      </c>
      <c r="E45" s="26">
        <f>(C45*D45)/22.5</f>
        <v>1.36481154786681</v>
      </c>
      <c r="F45" s="27">
        <v>1.94</v>
      </c>
      <c r="G45" s="27">
        <v>3.88</v>
      </c>
      <c r="H45" s="27">
        <v>10.53</v>
      </c>
      <c r="I45" s="27">
        <v>2.42</v>
      </c>
      <c r="J45" s="27">
        <v>1.27</v>
      </c>
      <c r="K45" s="27">
        <v>0.78</v>
      </c>
      <c r="L45" s="27">
        <v>2.41</v>
      </c>
      <c r="M45" s="27">
        <v>1.38</v>
      </c>
      <c r="N45" s="27">
        <v>1.19</v>
      </c>
      <c r="O45" s="2">
        <v>0.19</v>
      </c>
    </row>
    <row r="46" spans="1:15">
      <c r="A46" s="28"/>
      <c r="B46" s="24" t="s">
        <v>216</v>
      </c>
      <c r="C46" s="24">
        <v>5.4</v>
      </c>
      <c r="D46" s="29">
        <v>3.158920130244</v>
      </c>
      <c r="E46" s="26">
        <f>(C46*D46)/22.5</f>
        <v>0.75814083125856</v>
      </c>
      <c r="F46" s="27">
        <v>1.68</v>
      </c>
      <c r="G46" s="27">
        <v>3.58</v>
      </c>
      <c r="H46" s="27">
        <v>0</v>
      </c>
      <c r="I46" s="27">
        <v>2.89</v>
      </c>
      <c r="J46" s="27">
        <v>1.06</v>
      </c>
      <c r="K46" s="27">
        <v>6.03</v>
      </c>
      <c r="L46" s="27">
        <v>3.63</v>
      </c>
      <c r="M46" s="27">
        <v>4.21</v>
      </c>
      <c r="N46" s="27">
        <v>3.87</v>
      </c>
      <c r="O46" s="2">
        <v>0.37</v>
      </c>
    </row>
    <row r="47" spans="1:15">
      <c r="A47" s="28"/>
      <c r="B47" s="24" t="s">
        <v>217</v>
      </c>
      <c r="C47" s="24">
        <v>9.1</v>
      </c>
      <c r="D47" s="29">
        <v>16.281978775046</v>
      </c>
      <c r="E47" s="26">
        <f>(C47*D47)/22.5</f>
        <v>6.58515586012972</v>
      </c>
      <c r="F47" s="27">
        <v>1.88</v>
      </c>
      <c r="G47" s="27">
        <v>4.59</v>
      </c>
      <c r="H47" s="27">
        <v>10.69</v>
      </c>
      <c r="I47" s="27">
        <v>11.82</v>
      </c>
      <c r="J47" s="27">
        <v>1.63</v>
      </c>
      <c r="K47" s="27">
        <v>177.74</v>
      </c>
      <c r="L47" s="27">
        <v>12.46</v>
      </c>
      <c r="M47" s="27">
        <v>11.74</v>
      </c>
      <c r="N47" s="27">
        <v>1.34</v>
      </c>
      <c r="O47" s="2">
        <v>0.32</v>
      </c>
    </row>
    <row r="48" spans="1:15">
      <c r="A48" s="28"/>
      <c r="B48" s="24" t="s">
        <v>218</v>
      </c>
      <c r="C48" s="24">
        <v>5.5</v>
      </c>
      <c r="D48" s="29">
        <v>11.5188297826867</v>
      </c>
      <c r="E48" s="26">
        <f>(C48*D48)/22.5</f>
        <v>2.81571394687897</v>
      </c>
      <c r="F48" s="27">
        <v>1.7</v>
      </c>
      <c r="G48" s="27">
        <v>3.77</v>
      </c>
      <c r="H48" s="27">
        <v>3.64</v>
      </c>
      <c r="I48" s="27">
        <v>3.91</v>
      </c>
      <c r="J48" s="27">
        <v>0.93</v>
      </c>
      <c r="K48" s="27">
        <v>0.84</v>
      </c>
      <c r="L48" s="27">
        <v>5.93</v>
      </c>
      <c r="M48" s="27">
        <v>1.79</v>
      </c>
      <c r="N48" s="27">
        <v>1.3</v>
      </c>
      <c r="O48" s="2">
        <v>0.26</v>
      </c>
    </row>
    <row r="49" spans="1:15">
      <c r="A49" s="28"/>
      <c r="B49" s="24" t="s">
        <v>219</v>
      </c>
      <c r="C49" s="24">
        <v>6.9</v>
      </c>
      <c r="D49" s="29">
        <v>16.6268438325896</v>
      </c>
      <c r="E49" s="26">
        <f>(C49*D49)/22.5</f>
        <v>5.09889877532748</v>
      </c>
      <c r="F49" s="27">
        <v>1.97</v>
      </c>
      <c r="G49" s="27">
        <v>3.6</v>
      </c>
      <c r="H49" s="27">
        <v>11.79</v>
      </c>
      <c r="I49" s="27">
        <v>3.67</v>
      </c>
      <c r="J49" s="27">
        <v>1.14</v>
      </c>
      <c r="K49" s="27">
        <v>8.52</v>
      </c>
      <c r="L49" s="27">
        <v>15.27</v>
      </c>
      <c r="M49" s="27">
        <v>2.18</v>
      </c>
      <c r="N49" s="27">
        <v>1.39</v>
      </c>
      <c r="O49" s="2">
        <v>0.11</v>
      </c>
    </row>
    <row r="50" spans="1:15">
      <c r="A50" s="28"/>
      <c r="B50" s="24" t="s">
        <v>220</v>
      </c>
      <c r="C50" s="24">
        <v>5.6</v>
      </c>
      <c r="D50" s="29">
        <v>6.85496018603517</v>
      </c>
      <c r="E50" s="26">
        <f>(C50*D50)/22.5</f>
        <v>1.70612342407986</v>
      </c>
      <c r="F50" s="27">
        <v>1.02</v>
      </c>
      <c r="G50" s="27">
        <v>2.2</v>
      </c>
      <c r="H50" s="27">
        <v>3.71</v>
      </c>
      <c r="I50" s="27">
        <v>4.06</v>
      </c>
      <c r="J50" s="27">
        <v>1.17</v>
      </c>
      <c r="K50" s="27">
        <v>1.36</v>
      </c>
      <c r="L50" s="27">
        <v>64.6</v>
      </c>
      <c r="M50" s="27">
        <v>1.61</v>
      </c>
      <c r="N50" s="27">
        <v>1.18</v>
      </c>
      <c r="O50" s="2">
        <v>0.41</v>
      </c>
    </row>
    <row r="51" spans="1:15">
      <c r="A51" s="28"/>
      <c r="B51" s="24" t="s">
        <v>221</v>
      </c>
      <c r="C51" s="24">
        <v>5.4</v>
      </c>
      <c r="D51" s="29">
        <v>5.580908641764</v>
      </c>
      <c r="E51" s="26">
        <f>(C51*D51)/22.5</f>
        <v>1.33941807402336</v>
      </c>
      <c r="F51" s="27">
        <v>0.93</v>
      </c>
      <c r="G51" s="27">
        <v>1.22</v>
      </c>
      <c r="H51" s="27">
        <v>0</v>
      </c>
      <c r="I51" s="27">
        <v>1.69</v>
      </c>
      <c r="J51" s="27">
        <v>0.9</v>
      </c>
      <c r="K51" s="27">
        <v>1.64</v>
      </c>
      <c r="L51" s="27">
        <v>2.09</v>
      </c>
      <c r="M51" s="27">
        <v>1.11</v>
      </c>
      <c r="N51" s="27">
        <v>1.17</v>
      </c>
      <c r="O51" s="2">
        <v>0.15</v>
      </c>
    </row>
    <row r="52" spans="1:15">
      <c r="A52" s="28"/>
      <c r="B52" s="24" t="s">
        <v>222</v>
      </c>
      <c r="C52" s="24">
        <v>6.9</v>
      </c>
      <c r="D52" s="29">
        <v>25.8745240934781</v>
      </c>
      <c r="E52" s="26">
        <f>(C52*D52)/22.5</f>
        <v>7.93485405533328</v>
      </c>
      <c r="F52" s="27">
        <v>1.6</v>
      </c>
      <c r="G52" s="27">
        <v>2.62</v>
      </c>
      <c r="H52" s="27">
        <v>9.32</v>
      </c>
      <c r="I52" s="27">
        <v>2.54</v>
      </c>
      <c r="J52" s="27">
        <v>1.1</v>
      </c>
      <c r="K52" s="27">
        <v>3.91</v>
      </c>
      <c r="L52" s="27">
        <v>2.68</v>
      </c>
      <c r="M52" s="27">
        <v>1.59</v>
      </c>
      <c r="N52" s="27">
        <v>1.25</v>
      </c>
      <c r="O52" s="2">
        <v>0.08</v>
      </c>
    </row>
    <row r="53" spans="1:15">
      <c r="A53" s="28"/>
      <c r="B53" s="24" t="s">
        <v>223</v>
      </c>
      <c r="C53" s="24">
        <v>6.6</v>
      </c>
      <c r="D53" s="29">
        <v>23.6678961862443</v>
      </c>
      <c r="E53" s="26">
        <f>(C53*D53)/22.5</f>
        <v>6.94258288129833</v>
      </c>
      <c r="F53" s="27">
        <v>1.12</v>
      </c>
      <c r="G53" s="27">
        <v>2.3</v>
      </c>
      <c r="H53" s="27">
        <v>5.09</v>
      </c>
      <c r="I53" s="27">
        <v>2.69</v>
      </c>
      <c r="J53" s="27">
        <v>0.96</v>
      </c>
      <c r="K53" s="27">
        <v>1.66</v>
      </c>
      <c r="L53" s="27">
        <v>3.32</v>
      </c>
      <c r="M53" s="27">
        <v>1.77</v>
      </c>
      <c r="N53" s="27">
        <v>1.66</v>
      </c>
      <c r="O53" s="2">
        <v>0.07</v>
      </c>
    </row>
    <row r="54" spans="1:15">
      <c r="A54" s="28"/>
      <c r="B54" s="24" t="s">
        <v>224</v>
      </c>
      <c r="C54" s="24">
        <v>4.3</v>
      </c>
      <c r="D54" s="29">
        <v>7.08235311060472</v>
      </c>
      <c r="E54" s="26">
        <f>(C54*D54)/22.5</f>
        <v>1.3535163722489</v>
      </c>
      <c r="F54" s="27">
        <v>1.58</v>
      </c>
      <c r="G54" s="27">
        <v>1.39</v>
      </c>
      <c r="H54" s="27">
        <v>9.87</v>
      </c>
      <c r="I54" s="27">
        <v>2.21</v>
      </c>
      <c r="J54" s="27">
        <v>1.35</v>
      </c>
      <c r="K54" s="27">
        <v>0.74</v>
      </c>
      <c r="L54" s="27">
        <v>4.04</v>
      </c>
      <c r="M54" s="27">
        <v>2.23</v>
      </c>
      <c r="N54" s="27">
        <v>1.33</v>
      </c>
      <c r="O54" s="2">
        <v>0.19</v>
      </c>
    </row>
    <row r="55" spans="1:15">
      <c r="A55" s="28"/>
      <c r="B55" s="24" t="s">
        <v>225</v>
      </c>
      <c r="C55" s="24">
        <v>6.6</v>
      </c>
      <c r="D55" s="29">
        <v>31.6024797516545</v>
      </c>
      <c r="E55" s="26">
        <f>(C55*D55)/22.5</f>
        <v>9.27006072715199</v>
      </c>
      <c r="F55" s="27">
        <v>1.41</v>
      </c>
      <c r="G55" s="27">
        <v>1.94</v>
      </c>
      <c r="H55" s="27">
        <v>0</v>
      </c>
      <c r="I55" s="27">
        <v>3.1</v>
      </c>
      <c r="J55" s="27">
        <v>1.53</v>
      </c>
      <c r="K55" s="27">
        <v>37.63</v>
      </c>
      <c r="L55" s="27">
        <v>4.89</v>
      </c>
      <c r="M55" s="27">
        <v>2.75</v>
      </c>
      <c r="N55" s="27">
        <v>1.28</v>
      </c>
      <c r="O55" s="2">
        <v>0.21</v>
      </c>
    </row>
    <row r="56" spans="1:15">
      <c r="A56" s="28"/>
      <c r="B56" s="24" t="s">
        <v>226</v>
      </c>
      <c r="C56" s="24">
        <v>4.9</v>
      </c>
      <c r="D56" s="29">
        <v>8.89658714688125</v>
      </c>
      <c r="E56" s="26">
        <f>(C56*D56)/22.5</f>
        <v>1.93747897865414</v>
      </c>
      <c r="F56" s="27">
        <v>1.35</v>
      </c>
      <c r="G56" s="27">
        <v>2.11</v>
      </c>
      <c r="H56" s="27">
        <v>11.05</v>
      </c>
      <c r="I56" s="27">
        <v>2.58</v>
      </c>
      <c r="J56" s="27">
        <v>1.2</v>
      </c>
      <c r="K56" s="27">
        <v>8.24</v>
      </c>
      <c r="L56" s="27">
        <v>6.33</v>
      </c>
      <c r="M56" s="27">
        <v>3.57</v>
      </c>
      <c r="N56" s="27">
        <v>1.19</v>
      </c>
      <c r="O56" s="2">
        <v>0.19</v>
      </c>
    </row>
    <row r="57" spans="1:15">
      <c r="A57" s="28" t="s">
        <v>227</v>
      </c>
      <c r="B57" s="24" t="s">
        <v>228</v>
      </c>
      <c r="C57" s="24">
        <v>4.2</v>
      </c>
      <c r="D57" s="29">
        <v>10.3716367569</v>
      </c>
      <c r="E57" s="26">
        <f>(C57*D57)/22.5</f>
        <v>1.936038861288</v>
      </c>
      <c r="F57" s="27">
        <v>1.19</v>
      </c>
      <c r="G57" s="27">
        <v>1.79</v>
      </c>
      <c r="H57" s="27">
        <v>4.71</v>
      </c>
      <c r="I57" s="27">
        <v>1.33</v>
      </c>
      <c r="J57" s="27">
        <v>0.88</v>
      </c>
      <c r="K57" s="27">
        <v>0.77</v>
      </c>
      <c r="L57" s="27">
        <v>3.33</v>
      </c>
      <c r="M57" s="27">
        <v>2.76</v>
      </c>
      <c r="N57" s="27">
        <v>0.99</v>
      </c>
      <c r="O57" s="2">
        <v>0.12</v>
      </c>
    </row>
    <row r="58" spans="1:15">
      <c r="A58" s="28"/>
      <c r="B58" s="24" t="s">
        <v>229</v>
      </c>
      <c r="C58" s="24">
        <v>5.2</v>
      </c>
      <c r="D58" s="29">
        <v>9.7655212178</v>
      </c>
      <c r="E58" s="26">
        <f>(C58*D58)/22.5</f>
        <v>2.25692045922489</v>
      </c>
      <c r="F58" s="27">
        <v>1.66</v>
      </c>
      <c r="G58" s="27">
        <v>1.21</v>
      </c>
      <c r="H58" s="27">
        <v>2.22</v>
      </c>
      <c r="I58" s="27">
        <v>0.59</v>
      </c>
      <c r="J58" s="27">
        <v>1.12</v>
      </c>
      <c r="K58" s="27">
        <v>1.27</v>
      </c>
      <c r="L58" s="27">
        <v>2.19</v>
      </c>
      <c r="M58" s="27">
        <v>2.19</v>
      </c>
      <c r="N58" s="27">
        <v>0.87</v>
      </c>
      <c r="O58" s="2">
        <v>0.13</v>
      </c>
    </row>
    <row r="59" spans="1:15">
      <c r="A59" s="28"/>
      <c r="B59" s="24" t="s">
        <v>230</v>
      </c>
      <c r="C59" s="24">
        <v>3</v>
      </c>
      <c r="D59" s="29">
        <v>4.326758778</v>
      </c>
      <c r="E59" s="26">
        <f>(C59*D59)/22.5</f>
        <v>0.5769011704</v>
      </c>
      <c r="F59" s="27">
        <v>1.02</v>
      </c>
      <c r="G59" s="27">
        <v>4.07</v>
      </c>
      <c r="H59" s="27">
        <v>0</v>
      </c>
      <c r="I59" s="27">
        <v>1.49</v>
      </c>
      <c r="J59" s="27">
        <v>0.67</v>
      </c>
      <c r="K59" s="27">
        <v>0.89</v>
      </c>
      <c r="L59" s="27">
        <v>1.66</v>
      </c>
      <c r="M59" s="27">
        <v>3.11</v>
      </c>
      <c r="N59" s="27">
        <v>1.2</v>
      </c>
      <c r="O59" s="2">
        <v>0.02</v>
      </c>
    </row>
    <row r="60" spans="1:15">
      <c r="A60" s="28"/>
      <c r="B60" s="24" t="s">
        <v>231</v>
      </c>
      <c r="C60" s="24">
        <v>4.8</v>
      </c>
      <c r="D60" s="29">
        <v>5.54327928071553</v>
      </c>
      <c r="E60" s="26">
        <f>(C60*D60)/22.5</f>
        <v>1.18256624655265</v>
      </c>
      <c r="F60" s="27">
        <v>0.77</v>
      </c>
      <c r="G60" s="27">
        <v>1.94</v>
      </c>
      <c r="H60" s="27">
        <v>1.98</v>
      </c>
      <c r="I60" s="27">
        <v>1.02</v>
      </c>
      <c r="J60" s="27">
        <v>1.11</v>
      </c>
      <c r="K60" s="27">
        <v>0.93</v>
      </c>
      <c r="L60" s="27">
        <v>3.05</v>
      </c>
      <c r="M60" s="27">
        <v>1.43</v>
      </c>
      <c r="N60" s="27">
        <v>1.34</v>
      </c>
      <c r="O60" s="2">
        <v>0.04</v>
      </c>
    </row>
    <row r="61" spans="1:15">
      <c r="A61" s="28"/>
      <c r="B61" s="24" t="s">
        <v>232</v>
      </c>
      <c r="C61" s="24">
        <v>3.1</v>
      </c>
      <c r="D61" s="29">
        <v>5.44331564331664</v>
      </c>
      <c r="E61" s="26">
        <f>(C61*D61)/22.5</f>
        <v>0.749967933079182</v>
      </c>
      <c r="F61" s="27">
        <v>1.29</v>
      </c>
      <c r="G61" s="27">
        <v>3.44</v>
      </c>
      <c r="H61" s="27">
        <v>0.51</v>
      </c>
      <c r="I61" s="27">
        <v>1.23</v>
      </c>
      <c r="J61" s="27">
        <v>1.1</v>
      </c>
      <c r="K61" s="27">
        <v>1.07</v>
      </c>
      <c r="L61" s="27">
        <v>2</v>
      </c>
      <c r="M61" s="27">
        <v>1.88</v>
      </c>
      <c r="N61" s="27">
        <v>1.45</v>
      </c>
      <c r="O61" s="2">
        <v>0.08</v>
      </c>
    </row>
    <row r="62" spans="1:15">
      <c r="A62" s="28"/>
      <c r="B62" s="24" t="s">
        <v>233</v>
      </c>
      <c r="C62" s="24">
        <v>5.5</v>
      </c>
      <c r="D62" s="29">
        <v>14.23287655685</v>
      </c>
      <c r="E62" s="26">
        <f>(C62*D62)/22.5</f>
        <v>3.47914760278556</v>
      </c>
      <c r="F62" s="27">
        <v>1.11</v>
      </c>
      <c r="G62" s="27">
        <v>1.29</v>
      </c>
      <c r="H62" s="27">
        <v>0</v>
      </c>
      <c r="I62" s="27">
        <v>0.96</v>
      </c>
      <c r="J62" s="27">
        <v>0.76</v>
      </c>
      <c r="K62" s="27">
        <v>5.09</v>
      </c>
      <c r="L62" s="27">
        <v>4.03</v>
      </c>
      <c r="M62" s="27">
        <v>2.27</v>
      </c>
      <c r="N62" s="27">
        <v>1.27</v>
      </c>
      <c r="O62" s="2">
        <v>0.06</v>
      </c>
    </row>
    <row r="63" spans="1:15">
      <c r="A63" s="28"/>
      <c r="B63" s="24" t="s">
        <v>234</v>
      </c>
      <c r="C63" s="24">
        <v>3.1</v>
      </c>
      <c r="D63" s="29">
        <v>1.9998766422</v>
      </c>
      <c r="E63" s="26">
        <f>(C63*D63)/22.5</f>
        <v>0.275538559592</v>
      </c>
      <c r="F63" s="27">
        <v>1.67</v>
      </c>
      <c r="G63" s="27">
        <v>2.76</v>
      </c>
      <c r="H63" s="27">
        <v>0</v>
      </c>
      <c r="I63" s="27">
        <v>0.51</v>
      </c>
      <c r="J63" s="27">
        <v>0.71</v>
      </c>
      <c r="K63" s="27">
        <v>2.57</v>
      </c>
      <c r="L63" s="27">
        <v>1.66</v>
      </c>
      <c r="M63" s="27">
        <v>1.56</v>
      </c>
      <c r="N63" s="27">
        <v>1.34</v>
      </c>
      <c r="O63" s="2">
        <v>0.4</v>
      </c>
    </row>
    <row r="64" spans="1:15">
      <c r="A64" s="28"/>
      <c r="B64" s="24" t="s">
        <v>235</v>
      </c>
      <c r="C64" s="24">
        <v>3</v>
      </c>
      <c r="D64" s="29">
        <v>3.47644887702</v>
      </c>
      <c r="E64" s="26">
        <f>(C64*D64)/22.5</f>
        <v>0.463526516936</v>
      </c>
      <c r="F64" s="27">
        <v>1.43</v>
      </c>
      <c r="G64" s="27">
        <v>2.66</v>
      </c>
      <c r="H64" s="27">
        <v>0</v>
      </c>
      <c r="I64" s="27">
        <v>4</v>
      </c>
      <c r="J64" s="27">
        <v>1.32</v>
      </c>
      <c r="K64" s="27">
        <v>1.11</v>
      </c>
      <c r="L64" s="27">
        <v>3.01</v>
      </c>
      <c r="M64" s="27">
        <v>1.18</v>
      </c>
      <c r="N64" s="27">
        <v>1.15</v>
      </c>
      <c r="O64" s="2">
        <v>0.12</v>
      </c>
    </row>
    <row r="65" spans="1:15">
      <c r="A65" s="28"/>
      <c r="B65" s="24" t="s">
        <v>236</v>
      </c>
      <c r="C65" s="24">
        <v>5</v>
      </c>
      <c r="D65" s="29">
        <v>21.676543772448</v>
      </c>
      <c r="E65" s="26">
        <f>(C65*D65)/22.5</f>
        <v>4.81700972721067</v>
      </c>
      <c r="F65" s="27">
        <v>1.21</v>
      </c>
      <c r="G65" s="27">
        <v>1.18</v>
      </c>
      <c r="H65" s="27">
        <v>0.43</v>
      </c>
      <c r="I65" s="27">
        <v>2.33</v>
      </c>
      <c r="J65" s="27">
        <v>1.45</v>
      </c>
      <c r="K65" s="27">
        <v>3.77</v>
      </c>
      <c r="L65" s="27">
        <v>1.58</v>
      </c>
      <c r="M65" s="27">
        <v>0.89</v>
      </c>
      <c r="N65" s="27">
        <v>0.78</v>
      </c>
      <c r="O65" s="2">
        <v>0.22</v>
      </c>
    </row>
    <row r="66" spans="1:15">
      <c r="A66" s="28"/>
      <c r="B66" s="24" t="s">
        <v>237</v>
      </c>
      <c r="C66" s="24">
        <v>5.7</v>
      </c>
      <c r="D66" s="29">
        <v>16.6545343255</v>
      </c>
      <c r="E66" s="26">
        <f>(C66*D66)/22.5</f>
        <v>4.21914869579333</v>
      </c>
      <c r="F66" s="27">
        <v>0.76</v>
      </c>
      <c r="G66" s="27">
        <v>4.39</v>
      </c>
      <c r="H66" s="27">
        <v>0</v>
      </c>
      <c r="I66" s="27">
        <v>5.45</v>
      </c>
      <c r="J66" s="27">
        <v>1.1</v>
      </c>
      <c r="K66" s="27">
        <v>1.07</v>
      </c>
      <c r="L66" s="27">
        <v>1.59</v>
      </c>
      <c r="M66" s="27">
        <v>0.89</v>
      </c>
      <c r="N66" s="27">
        <v>0.66</v>
      </c>
      <c r="O66" s="2">
        <v>0.11</v>
      </c>
    </row>
    <row r="67" spans="1:15">
      <c r="A67" s="28"/>
      <c r="B67" s="24" t="s">
        <v>238</v>
      </c>
      <c r="C67" s="24">
        <v>3.5</v>
      </c>
      <c r="D67" s="29">
        <v>6.43244668906537</v>
      </c>
      <c r="E67" s="26">
        <f>(C67*D67)/22.5</f>
        <v>1.00060281829906</v>
      </c>
      <c r="F67" s="27">
        <v>1.34</v>
      </c>
      <c r="G67" s="27">
        <v>3.01</v>
      </c>
      <c r="H67" s="27">
        <v>0</v>
      </c>
      <c r="I67" s="27">
        <v>3</v>
      </c>
      <c r="J67" s="27">
        <v>0.99</v>
      </c>
      <c r="K67" s="27">
        <v>2.22</v>
      </c>
      <c r="L67" s="27">
        <v>1.66</v>
      </c>
      <c r="M67" s="27">
        <v>4.08</v>
      </c>
      <c r="N67" s="27">
        <v>1.21</v>
      </c>
      <c r="O67" s="2">
        <v>0.14</v>
      </c>
    </row>
    <row r="68" spans="1:15">
      <c r="A68" s="28"/>
      <c r="B68" s="24" t="s">
        <v>239</v>
      </c>
      <c r="C68" s="24">
        <v>6.2</v>
      </c>
      <c r="D68" s="29">
        <v>35.843669837654</v>
      </c>
      <c r="E68" s="26">
        <f>(C68*D68)/22.5</f>
        <v>9.87692235526466</v>
      </c>
      <c r="F68" s="27">
        <v>1.76</v>
      </c>
      <c r="G68" s="27">
        <v>3.77</v>
      </c>
      <c r="H68" s="27">
        <v>1.01</v>
      </c>
      <c r="I68" s="27">
        <v>8.56</v>
      </c>
      <c r="J68" s="27">
        <v>1.56</v>
      </c>
      <c r="K68" s="27">
        <v>0.99</v>
      </c>
      <c r="L68" s="27">
        <v>2.98</v>
      </c>
      <c r="M68" s="27">
        <v>2.18</v>
      </c>
      <c r="N68" s="27">
        <v>1.19</v>
      </c>
      <c r="O68" s="2">
        <v>0.02</v>
      </c>
    </row>
    <row r="69" spans="1:15">
      <c r="A69" s="28" t="s">
        <v>240</v>
      </c>
      <c r="B69" s="24" t="s">
        <v>241</v>
      </c>
      <c r="C69" s="24">
        <v>4.9</v>
      </c>
      <c r="D69" s="29">
        <v>2.33</v>
      </c>
      <c r="E69" s="26">
        <f t="shared" ref="E69:E94" si="1">(C69*D69)/22.5</f>
        <v>0.507422222222222</v>
      </c>
      <c r="F69" s="27">
        <v>2.12</v>
      </c>
      <c r="G69" s="27">
        <v>3</v>
      </c>
      <c r="H69" s="27">
        <v>0.56</v>
      </c>
      <c r="I69" s="27">
        <v>2.33</v>
      </c>
      <c r="J69" s="27">
        <v>0.65</v>
      </c>
      <c r="K69" s="27">
        <v>0.58</v>
      </c>
      <c r="L69" s="27">
        <v>1.77</v>
      </c>
      <c r="M69" s="27">
        <v>0.49</v>
      </c>
      <c r="N69" s="27">
        <v>0.79</v>
      </c>
      <c r="O69" s="2">
        <v>0.02</v>
      </c>
    </row>
    <row r="70" spans="1:15">
      <c r="A70" s="28"/>
      <c r="B70" s="24" t="s">
        <v>242</v>
      </c>
      <c r="C70" s="24">
        <v>3.7</v>
      </c>
      <c r="D70" s="29">
        <v>5.6</v>
      </c>
      <c r="E70" s="26">
        <f t="shared" si="1"/>
        <v>0.920888888888889</v>
      </c>
      <c r="F70" s="27">
        <v>1.41</v>
      </c>
      <c r="G70" s="27">
        <v>3.91</v>
      </c>
      <c r="H70" s="27">
        <v>6.31</v>
      </c>
      <c r="I70" s="27">
        <v>3.51</v>
      </c>
      <c r="J70" s="27">
        <v>0.76</v>
      </c>
      <c r="K70" s="27">
        <v>2.55</v>
      </c>
      <c r="L70" s="27">
        <v>2.49</v>
      </c>
      <c r="M70" s="27">
        <v>2.11</v>
      </c>
      <c r="N70" s="27">
        <v>1.12</v>
      </c>
      <c r="O70" s="2">
        <v>0.02</v>
      </c>
    </row>
    <row r="71" spans="1:15">
      <c r="A71" s="28"/>
      <c r="B71" s="24" t="s">
        <v>243</v>
      </c>
      <c r="C71" s="24">
        <v>4.5</v>
      </c>
      <c r="D71" s="29">
        <v>14.33</v>
      </c>
      <c r="E71" s="26">
        <f t="shared" si="1"/>
        <v>2.866</v>
      </c>
      <c r="F71" s="27">
        <v>0.9</v>
      </c>
      <c r="G71" s="27">
        <v>0.77</v>
      </c>
      <c r="H71" s="27">
        <v>0</v>
      </c>
      <c r="I71" s="27">
        <v>2.57</v>
      </c>
      <c r="J71" s="27">
        <v>0.97</v>
      </c>
      <c r="K71" s="27">
        <v>1.11</v>
      </c>
      <c r="L71" s="27">
        <v>1.97</v>
      </c>
      <c r="M71" s="27">
        <v>1.03</v>
      </c>
      <c r="N71" s="27">
        <v>1.45</v>
      </c>
      <c r="O71" s="2">
        <v>0.04</v>
      </c>
    </row>
    <row r="72" spans="1:15">
      <c r="A72" s="28"/>
      <c r="B72" s="24" t="s">
        <v>244</v>
      </c>
      <c r="C72" s="24">
        <v>6.2</v>
      </c>
      <c r="D72" s="29">
        <v>3.54</v>
      </c>
      <c r="E72" s="26">
        <f t="shared" si="1"/>
        <v>0.975466666666667</v>
      </c>
      <c r="F72" s="27">
        <v>1.16</v>
      </c>
      <c r="G72" s="27">
        <v>2.41</v>
      </c>
      <c r="H72" s="27">
        <v>1.22</v>
      </c>
      <c r="I72" s="27">
        <v>1.81</v>
      </c>
      <c r="J72" s="27">
        <v>1.05</v>
      </c>
      <c r="K72" s="27">
        <v>1.23</v>
      </c>
      <c r="L72" s="27">
        <v>3.02</v>
      </c>
      <c r="M72" s="27">
        <v>0.79</v>
      </c>
      <c r="N72" s="27">
        <v>1.02</v>
      </c>
      <c r="O72" s="2">
        <v>0.11</v>
      </c>
    </row>
    <row r="73" spans="1:15">
      <c r="A73" s="28"/>
      <c r="B73" s="24" t="s">
        <v>245</v>
      </c>
      <c r="C73" s="24">
        <v>4.2</v>
      </c>
      <c r="D73" s="29">
        <v>5.77</v>
      </c>
      <c r="E73" s="26">
        <f t="shared" si="1"/>
        <v>1.07706666666667</v>
      </c>
      <c r="F73" s="27">
        <v>1.06</v>
      </c>
      <c r="G73" s="27">
        <v>1.57</v>
      </c>
      <c r="H73" s="27">
        <v>0</v>
      </c>
      <c r="I73" s="27">
        <v>4.39</v>
      </c>
      <c r="J73" s="27">
        <v>1.12</v>
      </c>
      <c r="K73" s="27">
        <v>2.05</v>
      </c>
      <c r="L73" s="27">
        <v>2.02</v>
      </c>
      <c r="M73" s="27">
        <v>2.16</v>
      </c>
      <c r="N73" s="27">
        <v>1.09</v>
      </c>
      <c r="O73" s="2">
        <v>0.07</v>
      </c>
    </row>
    <row r="74" spans="1:15">
      <c r="A74" s="28"/>
      <c r="B74" s="24" t="s">
        <v>246</v>
      </c>
      <c r="C74" s="24">
        <v>5.6</v>
      </c>
      <c r="D74" s="29">
        <v>4.27026056199996</v>
      </c>
      <c r="E74" s="26">
        <f t="shared" si="1"/>
        <v>1.06282040654221</v>
      </c>
      <c r="F74" s="27">
        <v>1.01</v>
      </c>
      <c r="G74" s="27">
        <v>1.26</v>
      </c>
      <c r="H74" s="27">
        <v>0</v>
      </c>
      <c r="I74" s="27">
        <v>2.8</v>
      </c>
      <c r="J74" s="27">
        <v>0.88</v>
      </c>
      <c r="K74" s="27">
        <v>1.33</v>
      </c>
      <c r="L74" s="27">
        <v>2.07</v>
      </c>
      <c r="M74" s="27">
        <v>1.06</v>
      </c>
      <c r="N74" s="27">
        <v>1.65</v>
      </c>
      <c r="O74" s="2">
        <v>0.06</v>
      </c>
    </row>
    <row r="75" spans="1:15">
      <c r="A75" s="28"/>
      <c r="B75" s="24" t="s">
        <v>247</v>
      </c>
      <c r="C75" s="24">
        <v>3.5</v>
      </c>
      <c r="D75" s="29">
        <v>10.93229940168</v>
      </c>
      <c r="E75" s="26">
        <f t="shared" si="1"/>
        <v>1.700579906928</v>
      </c>
      <c r="F75" s="27">
        <v>0.91</v>
      </c>
      <c r="G75" s="27">
        <v>2.07</v>
      </c>
      <c r="H75" s="27">
        <v>0.76</v>
      </c>
      <c r="I75" s="27">
        <v>1.99</v>
      </c>
      <c r="J75" s="27">
        <v>0.88</v>
      </c>
      <c r="K75" s="27">
        <v>0.99</v>
      </c>
      <c r="L75" s="27">
        <v>1.77</v>
      </c>
      <c r="M75" s="27">
        <v>1.76</v>
      </c>
      <c r="N75" s="27">
        <v>0.98</v>
      </c>
      <c r="O75" s="2">
        <v>0.1</v>
      </c>
    </row>
    <row r="76" spans="1:15">
      <c r="A76" s="28"/>
      <c r="B76" s="24" t="s">
        <v>248</v>
      </c>
      <c r="C76" s="24">
        <v>2.9</v>
      </c>
      <c r="D76" s="29">
        <v>7.27625891712</v>
      </c>
      <c r="E76" s="26">
        <f t="shared" si="1"/>
        <v>0.937828927095467</v>
      </c>
      <c r="F76" s="27">
        <v>1.52</v>
      </c>
      <c r="G76" s="27">
        <v>1.11</v>
      </c>
      <c r="H76" s="27">
        <v>0</v>
      </c>
      <c r="I76" s="27">
        <v>1.21</v>
      </c>
      <c r="J76" s="27">
        <v>1.33</v>
      </c>
      <c r="K76" s="27">
        <v>0.09</v>
      </c>
      <c r="L76" s="27">
        <v>3.44</v>
      </c>
      <c r="M76" s="27">
        <v>0.78</v>
      </c>
      <c r="N76" s="27">
        <v>1.09</v>
      </c>
      <c r="O76" s="2">
        <v>0.31</v>
      </c>
    </row>
    <row r="77" spans="1:15">
      <c r="A77" s="28"/>
      <c r="B77" s="24" t="s">
        <v>249</v>
      </c>
      <c r="C77" s="24">
        <v>4.1</v>
      </c>
      <c r="D77" s="29">
        <v>30.29953522568</v>
      </c>
      <c r="E77" s="26">
        <f t="shared" si="1"/>
        <v>5.52124864112391</v>
      </c>
      <c r="F77" s="27">
        <v>1.06</v>
      </c>
      <c r="G77" s="27">
        <v>1.41</v>
      </c>
      <c r="H77" s="27">
        <v>0</v>
      </c>
      <c r="I77" s="27">
        <v>1.67</v>
      </c>
      <c r="J77" s="27">
        <v>1.57</v>
      </c>
      <c r="K77" s="27">
        <v>0.59</v>
      </c>
      <c r="L77" s="27">
        <v>1.93</v>
      </c>
      <c r="M77" s="27">
        <v>1.79</v>
      </c>
      <c r="N77" s="27">
        <v>1</v>
      </c>
      <c r="O77" s="2">
        <v>0.15</v>
      </c>
    </row>
    <row r="78" spans="1:15">
      <c r="A78" s="28"/>
      <c r="B78" s="24" t="s">
        <v>250</v>
      </c>
      <c r="C78" s="24">
        <v>5.5</v>
      </c>
      <c r="D78" s="29">
        <v>19.43398521522</v>
      </c>
      <c r="E78" s="26">
        <f t="shared" si="1"/>
        <v>4.750529719276</v>
      </c>
      <c r="F78" s="27">
        <v>0.84</v>
      </c>
      <c r="G78" s="27">
        <v>0.74</v>
      </c>
      <c r="H78" s="27">
        <v>0</v>
      </c>
      <c r="I78" s="27">
        <v>0.87</v>
      </c>
      <c r="J78" s="27">
        <v>0.65</v>
      </c>
      <c r="K78" s="27">
        <v>1.83</v>
      </c>
      <c r="L78" s="27">
        <v>1.99</v>
      </c>
      <c r="M78" s="27">
        <v>1.77</v>
      </c>
      <c r="N78" s="27">
        <v>1.21</v>
      </c>
      <c r="O78" s="2">
        <v>0.11</v>
      </c>
    </row>
    <row r="79" spans="1:15">
      <c r="A79" s="28"/>
      <c r="B79" s="24" t="s">
        <v>251</v>
      </c>
      <c r="C79" s="24">
        <v>4</v>
      </c>
      <c r="D79" s="29">
        <v>6.91829565378</v>
      </c>
      <c r="E79" s="26">
        <f t="shared" si="1"/>
        <v>1.22991922733867</v>
      </c>
      <c r="F79" s="27">
        <v>1.51</v>
      </c>
      <c r="G79" s="27">
        <v>1.07</v>
      </c>
      <c r="H79" s="27">
        <v>7.66</v>
      </c>
      <c r="I79" s="27">
        <v>1.28</v>
      </c>
      <c r="J79" s="27">
        <v>0.44</v>
      </c>
      <c r="K79" s="27">
        <v>1.87</v>
      </c>
      <c r="L79" s="27">
        <v>3.27</v>
      </c>
      <c r="M79" s="27">
        <v>2.17</v>
      </c>
      <c r="N79" s="27">
        <v>1.57</v>
      </c>
      <c r="O79" s="2">
        <v>0.09</v>
      </c>
    </row>
    <row r="80" spans="1:15">
      <c r="A80" s="28"/>
      <c r="B80" s="24" t="s">
        <v>252</v>
      </c>
      <c r="C80" s="24">
        <v>6.6</v>
      </c>
      <c r="D80" s="29">
        <v>13.77</v>
      </c>
      <c r="E80" s="26">
        <f t="shared" si="1"/>
        <v>4.0392</v>
      </c>
      <c r="F80" s="27">
        <v>0.96</v>
      </c>
      <c r="G80" s="27">
        <v>1.97</v>
      </c>
      <c r="H80" s="27">
        <v>0</v>
      </c>
      <c r="I80" s="27">
        <v>4.44</v>
      </c>
      <c r="J80" s="27">
        <v>1.04</v>
      </c>
      <c r="K80" s="27">
        <v>1.28</v>
      </c>
      <c r="L80" s="27">
        <v>1.64</v>
      </c>
      <c r="M80" s="27">
        <v>1.02</v>
      </c>
      <c r="N80" s="27">
        <v>0.87</v>
      </c>
      <c r="O80" s="2">
        <v>0.23</v>
      </c>
    </row>
  </sheetData>
  <autoFilter xmlns:etc="http://www.wps.cn/officeDocument/2017/etCustomData" ref="A1:O80" etc:filterBottomFollowUsedRange="0">
    <extLst/>
  </autoFilter>
  <mergeCells count="7">
    <mergeCell ref="A2:A13"/>
    <mergeCell ref="A14:A23"/>
    <mergeCell ref="A24:A35"/>
    <mergeCell ref="A36:A44"/>
    <mergeCell ref="A45:A56"/>
    <mergeCell ref="A57:A68"/>
    <mergeCell ref="A69:A80"/>
  </mergeCells>
  <pageMargins left="0.699305555555556" right="0.699305555555556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workbookViewId="0">
      <selection activeCell="B24" sqref="B24"/>
    </sheetView>
  </sheetViews>
  <sheetFormatPr defaultColWidth="9" defaultRowHeight="13.85"/>
  <cols>
    <col min="1" max="1" width="37.0442477876106" customWidth="1"/>
    <col min="2" max="2" width="21.929203539823" customWidth="1"/>
    <col min="3" max="3" width="27.1504424778761" customWidth="1"/>
    <col min="4" max="4" width="12.7964601769912"/>
    <col min="5" max="5" width="13.1327433628319" customWidth="1"/>
    <col min="6" max="6" width="12.7964601769912"/>
    <col min="7" max="7" width="18.7345132743363" customWidth="1"/>
    <col min="8" max="10" width="12.7964601769912"/>
    <col min="11" max="11" width="16.5309734513274" customWidth="1"/>
    <col min="12" max="12" width="12.7964601769912"/>
    <col min="13" max="13" width="18.5221238938053" customWidth="1"/>
    <col min="15" max="15" width="20.5840707964602" customWidth="1"/>
    <col min="27" max="27" width="13.1327433628319" customWidth="1"/>
    <col min="28" max="28" width="12.2654867256637" customWidth="1"/>
    <col min="30" max="30" width="16.3982300884956" customWidth="1"/>
    <col min="32" max="32" width="12.8672566371681" customWidth="1"/>
    <col min="33" max="33" width="14.3982300884956" customWidth="1"/>
    <col min="34" max="34" width="11.4690265486726"/>
  </cols>
  <sheetData>
    <row r="1" ht="103" customHeight="1" spans="1:13">
      <c r="A1" s="11" t="s">
        <v>253</v>
      </c>
      <c r="B1" s="11" t="s">
        <v>254</v>
      </c>
      <c r="C1" t="s">
        <v>255</v>
      </c>
      <c r="E1" t="s">
        <v>256</v>
      </c>
      <c r="G1" t="s">
        <v>257</v>
      </c>
      <c r="I1" t="s">
        <v>258</v>
      </c>
      <c r="K1" t="s">
        <v>259</v>
      </c>
      <c r="M1" t="s">
        <v>260</v>
      </c>
    </row>
    <row r="2" spans="1:13">
      <c r="B2" s="12" t="s">
        <v>261</v>
      </c>
      <c r="C2" s="13">
        <v>5.22727272727273</v>
      </c>
      <c r="D2" s="13"/>
      <c r="E2" s="13">
        <v>4.58333333333333</v>
      </c>
      <c r="F2" s="13"/>
      <c r="G2" s="13">
        <v>1.31578947368421</v>
      </c>
      <c r="H2" s="13"/>
      <c r="I2" s="13">
        <v>0.0268456375838926</v>
      </c>
      <c r="J2" s="13"/>
      <c r="K2" s="13">
        <v>0</v>
      </c>
      <c r="L2" s="13"/>
      <c r="M2" s="13">
        <v>0</v>
      </c>
    </row>
    <row r="3" spans="1:13"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>
      <c r="B4" s="14" t="s">
        <v>262</v>
      </c>
      <c r="C4" s="13">
        <v>14.2105263157895</v>
      </c>
      <c r="D4" s="13"/>
      <c r="E4" s="13">
        <v>11.5909090909091</v>
      </c>
      <c r="F4" s="13"/>
      <c r="G4" s="13">
        <v>6.76271186440678</v>
      </c>
      <c r="H4" s="13"/>
      <c r="I4" s="13">
        <v>0.358333333333333</v>
      </c>
      <c r="J4" s="13"/>
      <c r="K4" s="13">
        <v>0.02</v>
      </c>
      <c r="L4" s="13"/>
      <c r="M4" s="13">
        <v>0</v>
      </c>
    </row>
    <row r="5" spans="1:13">
      <c r="B5" s="15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</row>
    <row r="6" spans="1:13">
      <c r="B6" s="14" t="s">
        <v>263</v>
      </c>
      <c r="C6" s="13">
        <v>16.25</v>
      </c>
      <c r="D6" s="13"/>
      <c r="E6" s="13">
        <v>10.14</v>
      </c>
      <c r="F6" s="13"/>
      <c r="G6" s="13">
        <v>5.46052631578947</v>
      </c>
      <c r="H6" s="13"/>
      <c r="I6" s="13">
        <v>0.430769230769231</v>
      </c>
      <c r="J6" s="13"/>
      <c r="K6" s="13">
        <v>0.0321361058601134</v>
      </c>
      <c r="L6" s="13"/>
      <c r="M6" s="13">
        <v>0</v>
      </c>
    </row>
    <row r="7" spans="1:13">
      <c r="B7" s="15"/>
    </row>
    <row r="8" spans="1:13">
      <c r="B8" s="14"/>
    </row>
    <row r="9" spans="1:13">
      <c r="B9" s="15"/>
    </row>
    <row r="10" spans="1:13">
      <c r="B10" s="15"/>
    </row>
  </sheetData>
  <pageMargins left="0.699305555555556" right="0.699305555555556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"/>
  <sheetViews>
    <sheetView tabSelected="1" topLeftCell="I1" workbookViewId="0">
      <selection activeCell="D13" sqref="D13"/>
    </sheetView>
  </sheetViews>
  <sheetFormatPr defaultColWidth="9.02654867256637" defaultRowHeight="13.85" outlineLevelRow="5"/>
  <cols>
    <col min="1" max="1" width="38.5663716814159" customWidth="1"/>
    <col min="2" max="2" width="24.8318584070796" customWidth="1"/>
    <col min="3" max="3" width="16.0088495575221" customWidth="1"/>
    <col min="4" max="5" width="14.4070796460177" customWidth="1"/>
    <col min="6" max="6" width="13.7433628318584" customWidth="1"/>
    <col min="7" max="7" width="15.9380530973451" customWidth="1"/>
    <col min="8" max="8" width="14.6106194690265" customWidth="1"/>
    <col min="9" max="9" width="11.6902654867257" customWidth="1"/>
    <col min="10" max="17" width="18.4601769911504" customWidth="1"/>
    <col min="18" max="18" width="15.4070796460177" customWidth="1"/>
  </cols>
  <sheetData>
    <row r="1" ht="76" customHeight="1" spans="1:18">
      <c r="A1" s="1" t="s">
        <v>264</v>
      </c>
      <c r="B1" s="2"/>
      <c r="C1" s="3" t="s">
        <v>265</v>
      </c>
      <c r="D1" s="3"/>
      <c r="E1" s="3"/>
      <c r="F1" s="4"/>
      <c r="G1" s="5" t="s">
        <v>266</v>
      </c>
      <c r="H1" s="6"/>
      <c r="I1" s="6"/>
      <c r="J1" s="7"/>
      <c r="K1" s="6" t="s">
        <v>267</v>
      </c>
      <c r="L1" s="6"/>
      <c r="M1" s="6"/>
      <c r="N1" s="7"/>
      <c r="O1" s="5" t="s">
        <v>268</v>
      </c>
      <c r="P1" s="6"/>
      <c r="Q1" s="6"/>
      <c r="R1" s="7"/>
    </row>
    <row r="2" ht="27" customHeight="1" spans="1:18">
      <c r="A2" s="1"/>
      <c r="B2" s="2"/>
      <c r="C2" s="3">
        <v>1</v>
      </c>
      <c r="D2" s="3">
        <v>2</v>
      </c>
      <c r="E2" s="3">
        <v>3</v>
      </c>
      <c r="F2" s="4" t="s">
        <v>269</v>
      </c>
      <c r="G2" s="4">
        <v>1</v>
      </c>
      <c r="H2" s="4">
        <v>2</v>
      </c>
      <c r="I2" s="4">
        <v>3</v>
      </c>
      <c r="J2" s="2" t="s">
        <v>269</v>
      </c>
      <c r="K2" s="2">
        <v>1</v>
      </c>
      <c r="L2" s="2">
        <v>2</v>
      </c>
      <c r="M2" s="2">
        <v>3</v>
      </c>
      <c r="N2" s="2" t="s">
        <v>269</v>
      </c>
      <c r="O2" s="2">
        <v>1</v>
      </c>
      <c r="P2" s="2">
        <v>2</v>
      </c>
      <c r="Q2" s="2">
        <v>3</v>
      </c>
      <c r="R2" s="2" t="s">
        <v>269</v>
      </c>
    </row>
    <row r="3" ht="32" customHeight="1" spans="1:18">
      <c r="A3" s="8"/>
      <c r="B3" s="9" t="s">
        <v>270</v>
      </c>
      <c r="C3" s="10">
        <v>1900000</v>
      </c>
      <c r="D3" s="10">
        <v>1540000</v>
      </c>
      <c r="E3" s="10">
        <v>1810000</v>
      </c>
      <c r="F3" s="2">
        <v>1750000</v>
      </c>
      <c r="G3" s="2">
        <v>4770000</v>
      </c>
      <c r="H3" s="2">
        <v>2780000</v>
      </c>
      <c r="I3" s="2">
        <v>2650000</v>
      </c>
      <c r="J3" s="2">
        <v>3400000</v>
      </c>
      <c r="K3" s="2">
        <v>29900000</v>
      </c>
      <c r="L3" s="2">
        <v>27000000</v>
      </c>
      <c r="M3" s="2">
        <v>24100000</v>
      </c>
      <c r="N3" s="2">
        <v>27000000</v>
      </c>
      <c r="O3" s="2">
        <v>260000000</v>
      </c>
      <c r="P3" s="2">
        <v>309000000</v>
      </c>
      <c r="Q3" s="2">
        <v>211000000</v>
      </c>
      <c r="R3" s="2">
        <v>260000000</v>
      </c>
    </row>
    <row r="4" spans="1:18">
      <c r="A4" s="2"/>
      <c r="B4" s="2" t="s">
        <v>271</v>
      </c>
      <c r="C4" s="10">
        <v>1460000</v>
      </c>
      <c r="D4" s="10">
        <v>1860000</v>
      </c>
      <c r="E4" s="10">
        <v>1780000</v>
      </c>
      <c r="F4" s="2">
        <v>1700000</v>
      </c>
      <c r="G4" s="2">
        <v>3990000</v>
      </c>
      <c r="H4" s="2">
        <v>3360000</v>
      </c>
      <c r="I4" s="2">
        <v>3450000</v>
      </c>
      <c r="J4" s="2">
        <v>3600000</v>
      </c>
      <c r="K4" s="2">
        <v>33300000</v>
      </c>
      <c r="L4" s="2">
        <v>27800000</v>
      </c>
      <c r="M4" s="2">
        <v>28900000</v>
      </c>
      <c r="N4" s="2">
        <v>30000000</v>
      </c>
      <c r="O4" s="2">
        <v>223000000</v>
      </c>
      <c r="P4" s="2">
        <v>197000000</v>
      </c>
      <c r="Q4" s="2">
        <v>150000000</v>
      </c>
      <c r="R4" s="2">
        <v>190000000</v>
      </c>
    </row>
    <row r="5" spans="1:18">
      <c r="A5" s="2"/>
      <c r="B5" s="2" t="s">
        <v>272</v>
      </c>
      <c r="C5" s="10">
        <v>2580000</v>
      </c>
      <c r="D5" s="10">
        <v>1890000</v>
      </c>
      <c r="E5" s="10">
        <v>1830000</v>
      </c>
      <c r="F5" s="2">
        <v>2100000</v>
      </c>
      <c r="G5" s="2">
        <v>2020000</v>
      </c>
      <c r="H5" s="2">
        <v>1770000</v>
      </c>
      <c r="I5" s="2">
        <v>1790000</v>
      </c>
      <c r="J5" s="2">
        <v>1860000</v>
      </c>
      <c r="K5" s="2">
        <v>1160000</v>
      </c>
      <c r="L5" s="2">
        <v>1550000</v>
      </c>
      <c r="M5" s="2">
        <v>1190000</v>
      </c>
      <c r="N5" s="2">
        <v>1300000</v>
      </c>
      <c r="O5" s="2">
        <v>130000</v>
      </c>
      <c r="P5" s="2">
        <v>140000</v>
      </c>
      <c r="Q5" s="2">
        <v>180000</v>
      </c>
      <c r="R5" s="2">
        <v>150000</v>
      </c>
    </row>
    <row r="6" spans="1:18">
      <c r="A6" s="2"/>
      <c r="B6" s="2" t="s">
        <v>273</v>
      </c>
      <c r="C6" s="10">
        <v>1690000</v>
      </c>
      <c r="D6" s="10">
        <v>1650000</v>
      </c>
      <c r="E6" s="10">
        <v>2060000</v>
      </c>
      <c r="F6" s="2">
        <v>1800000</v>
      </c>
      <c r="G6" s="2">
        <v>1220000</v>
      </c>
      <c r="H6" s="2">
        <v>1600000</v>
      </c>
      <c r="I6" s="2">
        <v>1260000</v>
      </c>
      <c r="J6" s="2">
        <v>1360000</v>
      </c>
      <c r="K6" s="2">
        <v>580000</v>
      </c>
      <c r="L6" s="2">
        <v>770000</v>
      </c>
      <c r="M6" s="2">
        <v>690000</v>
      </c>
      <c r="N6" s="2">
        <v>680000</v>
      </c>
      <c r="O6" s="2">
        <v>100000</v>
      </c>
      <c r="P6" s="2">
        <v>120000</v>
      </c>
      <c r="Q6" s="2">
        <v>260000</v>
      </c>
      <c r="R6" s="2">
        <v>160000</v>
      </c>
    </row>
  </sheetData>
  <mergeCells count="4">
    <mergeCell ref="C1:F1"/>
    <mergeCell ref="G1:J1"/>
    <mergeCell ref="K1:N1"/>
    <mergeCell ref="O1:R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workbookViewId="0">
      <selection activeCell="F27" sqref="F27"/>
    </sheetView>
  </sheetViews>
  <sheetFormatPr defaultColWidth="9" defaultRowHeight="13.85"/>
  <cols>
    <col min="1" max="1" width="11.4690265486726" customWidth="1"/>
    <col min="2" max="2" width="16.2743362831858" customWidth="1"/>
    <col min="3" max="3" width="21.7787610619469" customWidth="1"/>
    <col min="4" max="4" width="18.9911504424779" customWidth="1"/>
    <col min="5" max="5" width="13.353982300885" customWidth="1"/>
    <col min="6" max="6" width="16.7345132743363" customWidth="1"/>
    <col min="7" max="7" width="10.5309734513274"/>
    <col min="8" max="8" width="9.39823008849558"/>
    <col min="9" max="9" width="10.5309734513274"/>
    <col min="10" max="12" width="10.3982300884956"/>
  </cols>
  <sheetData>
    <row r="1" ht="19.05" customHeight="1" spans="1:9">
      <c r="A1" t="s">
        <v>274</v>
      </c>
      <c r="B1" t="s">
        <v>275</v>
      </c>
      <c r="C1" t="s">
        <v>276</v>
      </c>
      <c r="E1" t="s">
        <v>118</v>
      </c>
      <c r="G1" t="s">
        <v>108</v>
      </c>
      <c r="I1" t="s">
        <v>128</v>
      </c>
    </row>
    <row r="2" spans="1:9">
      <c r="A2" t="s">
        <v>277</v>
      </c>
      <c r="B2" t="s">
        <v>278</v>
      </c>
      <c r="C2">
        <v>8565.996</v>
      </c>
      <c r="E2">
        <v>8409.954</v>
      </c>
      <c r="G2">
        <v>8590.984</v>
      </c>
      <c r="I2">
        <v>9089.101</v>
      </c>
    </row>
    <row r="3" spans="1:9">
      <c r="B3" t="s">
        <v>278</v>
      </c>
      <c r="C3">
        <v>8591.94</v>
      </c>
      <c r="E3">
        <v>8597.99</v>
      </c>
      <c r="G3">
        <v>8551.023</v>
      </c>
      <c r="I3">
        <v>8477.456</v>
      </c>
    </row>
    <row r="4" spans="1:9">
      <c r="B4" t="s">
        <v>278</v>
      </c>
      <c r="C4">
        <v>8495.79</v>
      </c>
      <c r="E4">
        <v>8695.022</v>
      </c>
      <c r="G4">
        <v>8295.792</v>
      </c>
      <c r="I4">
        <v>8595.79</v>
      </c>
    </row>
    <row r="5" spans="1:9">
      <c r="B5" t="s">
        <v>279</v>
      </c>
      <c r="C5">
        <v>8510.911</v>
      </c>
      <c r="E5">
        <v>6504.512</v>
      </c>
      <c r="G5">
        <v>7431.54</v>
      </c>
      <c r="I5">
        <v>14713.04</v>
      </c>
    </row>
    <row r="6" spans="1:9">
      <c r="B6" t="s">
        <v>279</v>
      </c>
      <c r="C6">
        <v>9092.11</v>
      </c>
      <c r="E6">
        <v>5955.402</v>
      </c>
      <c r="G6">
        <v>8440.51</v>
      </c>
      <c r="I6">
        <v>13780.017</v>
      </c>
    </row>
    <row r="7" spans="1:9">
      <c r="B7" t="s">
        <v>279</v>
      </c>
      <c r="C7">
        <v>8391.421</v>
      </c>
      <c r="E7">
        <v>6706.113</v>
      </c>
      <c r="G7">
        <v>7439.142</v>
      </c>
      <c r="I7">
        <v>15689.049</v>
      </c>
    </row>
    <row r="8" spans="1:9">
      <c r="B8" t="s">
        <v>280</v>
      </c>
      <c r="C8">
        <v>8571.905</v>
      </c>
      <c r="E8">
        <v>3702.048</v>
      </c>
      <c r="G8">
        <v>39537.2</v>
      </c>
      <c r="I8">
        <v>49489.48</v>
      </c>
    </row>
    <row r="9" spans="1:9">
      <c r="B9" t="s">
        <v>280</v>
      </c>
      <c r="C9">
        <v>8751.92</v>
      </c>
      <c r="E9">
        <v>3433.015</v>
      </c>
      <c r="G9">
        <v>38499.21</v>
      </c>
      <c r="I9">
        <v>48090.112</v>
      </c>
    </row>
    <row r="10" spans="1:9">
      <c r="B10" t="s">
        <v>280</v>
      </c>
      <c r="C10">
        <v>8510.733</v>
      </c>
      <c r="E10">
        <v>3704.541</v>
      </c>
      <c r="G10">
        <v>40539.022</v>
      </c>
      <c r="I10">
        <v>49491.48</v>
      </c>
    </row>
    <row r="11" spans="1:9">
      <c r="B11" t="s">
        <v>281</v>
      </c>
      <c r="C11">
        <v>8372.807</v>
      </c>
      <c r="E11">
        <v>1001.044</v>
      </c>
      <c r="G11">
        <v>61545.3</v>
      </c>
      <c r="I11">
        <v>70195.12</v>
      </c>
    </row>
    <row r="12" spans="1:9">
      <c r="B12" t="s">
        <v>281</v>
      </c>
      <c r="C12">
        <v>8525.945</v>
      </c>
      <c r="E12">
        <v>1021.015</v>
      </c>
      <c r="G12">
        <v>61544.312</v>
      </c>
      <c r="I12">
        <v>67191.111</v>
      </c>
    </row>
    <row r="13" spans="1:9">
      <c r="B13" t="s">
        <v>281</v>
      </c>
      <c r="C13">
        <v>8628.562</v>
      </c>
      <c r="E13">
        <v>1413.124</v>
      </c>
      <c r="G13">
        <v>59647.202</v>
      </c>
      <c r="I13">
        <v>72292.124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GDM data</vt:lpstr>
      <vt:lpstr>Pregnant SD rat data</vt:lpstr>
      <vt:lpstr>mouse data</vt:lpstr>
      <vt:lpstr>LR and BW bacterial ratio</vt:lpstr>
      <vt:lpstr>BW count</vt:lpstr>
      <vt:lpstr>The Gln content in the supernat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</dc:creator>
  <cp:lastModifiedBy>叶*缘于水起</cp:lastModifiedBy>
  <dcterms:created xsi:type="dcterms:W3CDTF">2015-06-05T18:19:00Z</dcterms:created>
  <dcterms:modified xsi:type="dcterms:W3CDTF">2026-04-15T13:29:22Z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89BAC301BB4242BB843B578ECBC592B1_12</vt:lpwstr>
  </property>
  <property fmtid="{D5CDD505-2E9C-101B-9397-08002B2CF9AE}" pid="4" name="CalculationRule">
    <vt:i4>0</vt:i4>
  </property>
</Properties>
</file>